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et\Documents\GitHub\urb-strat.github.io\data_cleaning\data_for_cleaning\"/>
    </mc:Choice>
  </mc:AlternateContent>
  <xr:revisionPtr revIDLastSave="0" documentId="13_ncr:1_{A2E2BDE9-FB6A-479C-9ED0-63889AC32974}" xr6:coauthVersionLast="47" xr6:coauthVersionMax="47" xr10:uidLastSave="{00000000-0000-0000-0000-000000000000}"/>
  <bookViews>
    <workbookView xWindow="-120" yWindow="-120" windowWidth="29040" windowHeight="15720" activeTab="1" xr2:uid="{E88BA38F-2C5F-4E63-9212-2A7F5C2B139B}"/>
  </bookViews>
  <sheets>
    <sheet name="Data Columns" sheetId="2" r:id="rId1"/>
    <sheet name="Join Shee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3" l="1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</calcChain>
</file>

<file path=xl/sharedStrings.xml><?xml version="1.0" encoding="utf-8"?>
<sst xmlns="http://schemas.openxmlformats.org/spreadsheetml/2006/main" count="2314" uniqueCount="587">
  <si>
    <t>USI Project Database</t>
  </si>
  <si>
    <t>Basic Boiler Plate - USI data</t>
  </si>
  <si>
    <t>Location Data</t>
  </si>
  <si>
    <t>Team Data</t>
  </si>
  <si>
    <t>Approvals Overview</t>
  </si>
  <si>
    <t>Approvals Details</t>
  </si>
  <si>
    <t>Job Number</t>
  </si>
  <si>
    <t xml:space="preserve">In Toronto? </t>
  </si>
  <si>
    <t>Name</t>
  </si>
  <si>
    <t>client</t>
  </si>
  <si>
    <t>Client Type</t>
  </si>
  <si>
    <t>Included in Master DB</t>
  </si>
  <si>
    <t>Centroid Coordinates</t>
  </si>
  <si>
    <t>Longitude</t>
  </si>
  <si>
    <t>Latitude</t>
  </si>
  <si>
    <t>address</t>
  </si>
  <si>
    <t>Project Type</t>
  </si>
  <si>
    <t>Project Focus</t>
  </si>
  <si>
    <t>Municipality/Jurisdiction</t>
  </si>
  <si>
    <t>Ward (Toronto)</t>
  </si>
  <si>
    <t>USI Team Members</t>
  </si>
  <si>
    <t>Principal in Charge</t>
  </si>
  <si>
    <t>Project Manager</t>
  </si>
  <si>
    <t>Project Start Date</t>
  </si>
  <si>
    <t>Project End Date</t>
  </si>
  <si>
    <t>Complete/Approval Year</t>
  </si>
  <si>
    <t>Approval type(s)</t>
  </si>
  <si>
    <t>Approval Status</t>
  </si>
  <si>
    <t>Residential Units</t>
  </si>
  <si>
    <t>Affordable Units (%)</t>
  </si>
  <si>
    <t>Affordable Units</t>
  </si>
  <si>
    <t>Max. Non-Residential GFA</t>
  </si>
  <si>
    <t>Min. Non-Residential GFA</t>
  </si>
  <si>
    <t>Density</t>
  </si>
  <si>
    <t>Height (m)</t>
  </si>
  <si>
    <t>Height (st)</t>
  </si>
  <si>
    <t>Site Area (m2)</t>
  </si>
  <si>
    <t>By-Law  Number</t>
  </si>
  <si>
    <t>Most Recent Report</t>
  </si>
  <si>
    <t>NOTES</t>
  </si>
  <si>
    <t xml:space="preserve">125 George Street </t>
  </si>
  <si>
    <t>DiamondCorp and Alterra GoC</t>
  </si>
  <si>
    <t>Real Estate Developers</t>
  </si>
  <si>
    <t>No</t>
  </si>
  <si>
    <t>(-79.3712680, 43.6527298)</t>
  </si>
  <si>
    <t>125 George Street, Toronto, Ontario</t>
  </si>
  <si>
    <t>Residential/Mixed Use</t>
  </si>
  <si>
    <t>Toronto</t>
  </si>
  <si>
    <t xml:space="preserve">N/A </t>
  </si>
  <si>
    <t>OPA and ZBA</t>
  </si>
  <si>
    <t>Complete</t>
  </si>
  <si>
    <t>OPA (102-2022), ZBA (103-2022)</t>
  </si>
  <si>
    <t>109-125 George Street and 231 Richmond Street East – Official Plan and Zoning By-law Amendment Application – Final Report</t>
  </si>
  <si>
    <t xml:space="preserve">101 Spadina </t>
  </si>
  <si>
    <t>Devron</t>
  </si>
  <si>
    <t>Yes</t>
  </si>
  <si>
    <t>(-79.3950061, 43.6464978)</t>
  </si>
  <si>
    <t>101 Spadina Avenue, Toronto, Ontario</t>
  </si>
  <si>
    <t>Residential</t>
  </si>
  <si>
    <t>Peter Pantalone, Leigh McGrath</t>
  </si>
  <si>
    <t>Leigh McGrath</t>
  </si>
  <si>
    <t>Peter Pantalone</t>
  </si>
  <si>
    <t>ZBA</t>
  </si>
  <si>
    <t>N/A</t>
  </si>
  <si>
    <t>757-2025</t>
  </si>
  <si>
    <t>101-105 Spadina Avenue and 363 Adelaide Street West – Zoning By-law Amendment Application – Decision Report – Approval</t>
  </si>
  <si>
    <t>10 Price Street (Scrivener Square)</t>
  </si>
  <si>
    <t>Tricon Capital Group and Diamond Corp</t>
  </si>
  <si>
    <t>(-79.3902855, 43.6802900)</t>
  </si>
  <si>
    <t>10 Price Street, Toronto, Ontario</t>
  </si>
  <si>
    <t>Development Approvals, Planning Analysis, OLT Appeal, Urban Design Guidelines</t>
  </si>
  <si>
    <t>Mixed Use</t>
  </si>
  <si>
    <t>Cyndi Rottenberg-Walker, Leigh McGrath, Josh Kohler</t>
  </si>
  <si>
    <t>Anne Benaroya</t>
  </si>
  <si>
    <t>OPA, ZBA</t>
  </si>
  <si>
    <t>267-2021</t>
  </si>
  <si>
    <t>LPAT Report</t>
  </si>
  <si>
    <t>USI site says 21 storey building, proposal from 2018 but not publicly available</t>
  </si>
  <si>
    <t>St Mary</t>
  </si>
  <si>
    <t>Tenblock</t>
  </si>
  <si>
    <t>(-79.3871454, 43.6673132)</t>
  </si>
  <si>
    <t>25 St. Mary Street, Toronto, Ontario</t>
  </si>
  <si>
    <t>OPA, ZBA, Rental Housing Demolition</t>
  </si>
  <si>
    <t>204 (w) and 194 (e)</t>
  </si>
  <si>
    <t>59 (w) and 54 (e)</t>
  </si>
  <si>
    <t>OPA (595-2023), ZBA (596-2023)</t>
  </si>
  <si>
    <t>25 St. Mary Street – 25 St. Mary Street</t>
  </si>
  <si>
    <t>Projected to set up at least 50 net new replacement affordable rental housing --  think its minimum 16 but im not sure (its in the report)</t>
  </si>
  <si>
    <t>155 Antibes</t>
  </si>
  <si>
    <t>(-79.4458818, 43.7821101)</t>
  </si>
  <si>
    <t>155 Antibes Drive, Toronto, Ontario</t>
  </si>
  <si>
    <t>Emily Reisman, Christine Fang-Denissov</t>
  </si>
  <si>
    <t>115 (a), 103 (b), 35 (c), 50 (d)</t>
  </si>
  <si>
    <t>36 (a), 32 (b), 8 (c)</t>
  </si>
  <si>
    <t>879-2024</t>
  </si>
  <si>
    <t>155 Antibes Dr – Zoning By-law Amendment Application – Decision Report - Approval</t>
  </si>
  <si>
    <t>no affordable housing mentions anywhere? also need to confirm if building d is the old building</t>
  </si>
  <si>
    <t>Downsivew Secondary Plan</t>
  </si>
  <si>
    <t>Northcrest Developments and Canada Lands Company</t>
  </si>
  <si>
    <t>Federal Crown corporation</t>
  </si>
  <si>
    <t>(-79.4723534, 43.7464712)</t>
  </si>
  <si>
    <t>Downsview Area</t>
  </si>
  <si>
    <t>Master Plan</t>
  </si>
  <si>
    <t>Michel Trocme, Frank Lewinberg, Emily Reisman, Christine Fang-Denissov, Lauren Haein An, Andrew Toth, Harshitha Damodaran, Aya Almaddah, Mona Han, Ning Lin, Samuel Lozeau</t>
  </si>
  <si>
    <t>Ongoing</t>
  </si>
  <si>
    <t>ZBA (707-2024)</t>
  </si>
  <si>
    <t>Update Downsview: Secondary Plan, Zoning By-law, Urban Design Guidelines and Master Environmental Servicing Plan - Final Report</t>
  </si>
  <si>
    <t>how to represent entire area for this ??</t>
  </si>
  <si>
    <t>99028</t>
  </si>
  <si>
    <t>1100 Sheppard Avenue West</t>
  </si>
  <si>
    <t xml:space="preserve">CentreCourt </t>
  </si>
  <si>
    <t>(-79.4664465, 43.7517928)</t>
  </si>
  <si>
    <t>1100 Sheppard Avenue, Toronto, Ontario</t>
  </si>
  <si>
    <t>Master Planning</t>
  </si>
  <si>
    <t>Emily Reisman</t>
  </si>
  <si>
    <t>OPA (520-2020), ZBA (521-2020)</t>
  </si>
  <si>
    <t>«PropAdd1»[Include ALL applicable addresses] – [Official Plan Amendment, Zoning Amendment, Subdivision, [Common Elements] [Vacant Land] Condominium] Application[</t>
  </si>
  <si>
    <t>250 Dundas (two ZBA applications)</t>
  </si>
  <si>
    <t>Dream Unlimited</t>
  </si>
  <si>
    <t>(-79.3896418, 43.6548650)</t>
  </si>
  <si>
    <t>250 Dundas Street West, Toronto, Ontario</t>
  </si>
  <si>
    <t>Benjamin Hoff, Inger Squires</t>
  </si>
  <si>
    <t>Inger Squires</t>
  </si>
  <si>
    <t>Kiera McMaster</t>
  </si>
  <si>
    <t>not updated yet -- has been approved</t>
  </si>
  <si>
    <t>250 Dundas Street West – Official Plan and Zoning By-law Amendment Application – Decision Report – Approval</t>
  </si>
  <si>
    <t>by-law has not been published, but it has been approved already in linked report</t>
  </si>
  <si>
    <t>75 Hanna/Liberty Yards</t>
  </si>
  <si>
    <t>First Capital Realty (FCR)</t>
  </si>
  <si>
    <t>(-79.4189436, 43.6399793)</t>
  </si>
  <si>
    <t>75 Hanna Avenue, Toronto, Ontario</t>
  </si>
  <si>
    <t>Master Planning, Approvals</t>
  </si>
  <si>
    <t>Cyndi Rottenberg-Walker, Inger Squires, Michel Trocme, Anne Benaroya</t>
  </si>
  <si>
    <t>Samantha Anderson</t>
  </si>
  <si>
    <t>17.7 + 113.25 (w) and 125 (e)</t>
  </si>
  <si>
    <t>3 + 32(w) and 36 (e)</t>
  </si>
  <si>
    <t>873-2024</t>
  </si>
  <si>
    <t>Union Park (315-325 Front St W) (two ZBA applications) </t>
  </si>
  <si>
    <t>Oxford Properties Group</t>
  </si>
  <si>
    <t>(-79.3891230, 43.6433640)</t>
  </si>
  <si>
    <t>315 Front Street West, Toronto, Ontario</t>
  </si>
  <si>
    <t>Development Approvals</t>
  </si>
  <si>
    <t>Cyndi Rottenberg-Walker</t>
  </si>
  <si>
    <t>Josh Neubauer</t>
  </si>
  <si>
    <t>Matthew Whittier</t>
  </si>
  <si>
    <t>168, 168, 235, 278</t>
  </si>
  <si>
    <t>50 (r1), 50 (r2), 71 (r3), 60 (o)</t>
  </si>
  <si>
    <t>Revised - 315-325 Front Street West – Zoning By-law Amendment Application – Decision Report – Approval</t>
  </si>
  <si>
    <t>consider making this a multipoint or multipolygon data point</t>
  </si>
  <si>
    <t>(-79.3902670, 43.6432270)</t>
  </si>
  <si>
    <t>325 Front Street West, Toronto, Ontario</t>
  </si>
  <si>
    <t>2150 Lakeshore - Christie Cookies Site</t>
  </si>
  <si>
    <t>First Capital Realty, Pemberton, Lakeshore Development Inc</t>
  </si>
  <si>
    <t>(-79.4799725, 43.6267741)</t>
  </si>
  <si>
    <t>2150 Lakeshore Boulevard West, Toronto, Ontario</t>
  </si>
  <si>
    <t>Master Planning, Development Approvals, Planning Analysis, Due Diligence Study</t>
  </si>
  <si>
    <t>Cyndi Rottenberg-Walker , Josh Kohler , Michel Trocme , Yiwen Zhu , Lauren Haein An , Aya Almaddah</t>
  </si>
  <si>
    <t>Josh Kohler</t>
  </si>
  <si>
    <t>Secondary Plan and ZBA</t>
  </si>
  <si>
    <t>Complete ?</t>
  </si>
  <si>
    <t>15 new towers 28-70</t>
  </si>
  <si>
    <t xml:space="preserve">only report, no bylaw ? </t>
  </si>
  <si>
    <t>Final Report - Christie's Planning Study – City-Initiated Secondary Plan &amp; Zoning By-law and Urban Design and Streetscape Guidelines</t>
  </si>
  <si>
    <t>no concrete numbers for affordable housing, estimated to go up to 1500 affordable housing units</t>
  </si>
  <si>
    <t>??? (archived)</t>
  </si>
  <si>
    <t>64 Prince Arthur Avenue</t>
  </si>
  <si>
    <t>64 Prince Arthur Limited Partnership</t>
  </si>
  <si>
    <t>(-79.3993584, 43.6692702)</t>
  </si>
  <si>
    <t>64 Prince Arthur Avenue, Toronto, Ontario</t>
  </si>
  <si>
    <t>1144-2023</t>
  </si>
  <si>
    <t>64 Prince Arthur Avenue – Zoning By-law Amendment Application – Decision Report – Approval</t>
  </si>
  <si>
    <t>no site, radio silence since 2023, who worked on this project there have been additional applications since 2023??</t>
  </si>
  <si>
    <t>22005</t>
  </si>
  <si>
    <t>OGDC St Dennis</t>
  </si>
  <si>
    <t>Osmington Gerofsky Development Corp</t>
  </si>
  <si>
    <t>(-79.3362448, 43.7160963)</t>
  </si>
  <si>
    <t>7 St Dennis Drive, Toronto, Ontario</t>
  </si>
  <si>
    <t>Development Approvals, Planning Analysis</t>
  </si>
  <si>
    <t>Benjamin Hoff</t>
  </si>
  <si>
    <t>Lauren Haein An</t>
  </si>
  <si>
    <t>174 (a), 162 (b), 135 (c), 153 (d)</t>
  </si>
  <si>
    <t>53, 49, 40, 46</t>
  </si>
  <si>
    <t>ZBA (49-2025), OPA(50-2025)</t>
  </si>
  <si>
    <t>7 St Dennis Drive &amp; 10 Grenoble Drive – Official Plan Amendment and Zoning Amendment – Decision Report – Approval</t>
  </si>
  <si>
    <t>done !!</t>
  </si>
  <si>
    <t xml:space="preserve">OGDC 350 Bloor East </t>
  </si>
  <si>
    <t>(-79.3788514, 43.6722918)</t>
  </si>
  <si>
    <t>350 Bloor Street East, Toronto, Ontario</t>
  </si>
  <si>
    <t xml:space="preserve">Toronto </t>
  </si>
  <si>
    <t>ZBA(599-2025), OPA(600-2025)</t>
  </si>
  <si>
    <t>350 Bloor Street East – Official Plan and Zoning By-law Amendment Application – Decision Report – Approval</t>
  </si>
  <si>
    <t>do we want owner or applicant ? or whos website it was obtained from since it says Rogers Communication Inc owns the lot i think</t>
  </si>
  <si>
    <t>Weston Park</t>
  </si>
  <si>
    <t>Castlepoint Weston Partnership</t>
  </si>
  <si>
    <t>(-79.5151872, 43.7000640)</t>
  </si>
  <si>
    <t>1871 Weston Road, Toronto, Ontario</t>
  </si>
  <si>
    <t>Development Approvals, Consultation and Engagement</t>
  </si>
  <si>
    <t>Benjamin Hoff, Josh Reiniger</t>
  </si>
  <si>
    <t>Stuart Dow?</t>
  </si>
  <si>
    <t>174 (a), 157 (b), and 14 (c)</t>
  </si>
  <si>
    <t>50 (a), 46 (b), and 1 (c)</t>
  </si>
  <si>
    <t xml:space="preserve">ZBA (1253-2023), OPA (1254-2023) </t>
  </si>
  <si>
    <t>1871, 1879, 1885 Weston Road and PIN 10324-0541 – Official Plan Amendment and Zoning By-law Amendment – Decision Report – Approval</t>
  </si>
  <si>
    <t xml:space="preserve">some measurements are not quite up to par with the rest of the data, like the 2 storeys of mechanical stuff -- whats the exact height? </t>
  </si>
  <si>
    <t>(-79.5154838, 43.7001041)</t>
  </si>
  <si>
    <t>1879 Weston Road, Toronto, Ontario</t>
  </si>
  <si>
    <t>(-79.5156786, 43.7001090)</t>
  </si>
  <si>
    <t>1885 Weston Road, Toronto, Ontario</t>
  </si>
  <si>
    <t>Dream 49 Ontario</t>
  </si>
  <si>
    <t>Dream Unlimited Corp and CentreCourt</t>
  </si>
  <si>
    <t>(-79.3660876, 43.6531766)</t>
  </si>
  <si>
    <t>49 Ontario Street, Toronto, Ontario</t>
  </si>
  <si>
    <t>153, 140.5, 44.2</t>
  </si>
  <si>
    <t>44, 39, 11</t>
  </si>
  <si>
    <t>1299-2023</t>
  </si>
  <si>
    <t>Microsoft Word - 49 Ontario and 72-94 Berkeley - REVISED.docx</t>
  </si>
  <si>
    <t>find out who is working on this and specific measurments (density, height, site area</t>
  </si>
  <si>
    <t>Hullmark 450 Dufferin</t>
  </si>
  <si>
    <t>Hullmark</t>
  </si>
  <si>
    <t>(-79.4299833, 43.6452977)</t>
  </si>
  <si>
    <t>450 Dufferin Street, Toronto, Ontario</t>
  </si>
  <si>
    <t>Josh Neubauer, Julian Del Bel Belluz</t>
  </si>
  <si>
    <t>Julian Del Bel Belluz</t>
  </si>
  <si>
    <t>OPA (221-2025), ZBA (254-2025)</t>
  </si>
  <si>
    <t>450 Dufferin Street – Official Plan and Zoning By-law Amendments – Decision Report – Approval</t>
  </si>
  <si>
    <t>Don Valley ReConnects</t>
  </si>
  <si>
    <t xml:space="preserve">Tercot Communities </t>
  </si>
  <si>
    <t>(-79.3267403, 43.7224243)</t>
  </si>
  <si>
    <t>155 St. Dennis Drive, Toronto, Ontario</t>
  </si>
  <si>
    <t xml:space="preserve">Master Planning, Development Approvals </t>
  </si>
  <si>
    <t>Melaie Hare, Craig Lametti, Desi Simova, Harshitha Damodaran</t>
  </si>
  <si>
    <t>Melanie Hare</t>
  </si>
  <si>
    <t>Harshitha Damodaran</t>
  </si>
  <si>
    <t xml:space="preserve">OPA and ZBA Application Refused </t>
  </si>
  <si>
    <t>Pending</t>
  </si>
  <si>
    <t>OLT-23-001278</t>
  </si>
  <si>
    <t>155 St Dennis Drive – Ontario Land Tribunal Hearing – Request for Directions</t>
  </si>
  <si>
    <t>went through OLT and approved? but City Council is appealing the process (2025/11/04)</t>
  </si>
  <si>
    <t>The Well</t>
  </si>
  <si>
    <t>RioCan and Allied Properties REIT</t>
  </si>
  <si>
    <t>(-79.3968332, 43.6424009)</t>
  </si>
  <si>
    <t>486 Front Street West, Toronto, Ontario</t>
  </si>
  <si>
    <t>Commercial/Residential/Mixed Use</t>
  </si>
  <si>
    <t>Dennis Lago, Geoff Whittager, Frank Lewinberg</t>
  </si>
  <si>
    <t>168, 156.4, 135.4, 80.4, 61.9, 61.9, 55.3</t>
  </si>
  <si>
    <t>36, 45, 38, 21, 15, 15, 13</t>
  </si>
  <si>
    <t>ZBA(124-2017), OPA (125-2017)</t>
  </si>
  <si>
    <t>440, 444, 450 and 462 Front Street West; 425, 439, 441 and 443 Wellington Street West; 6-18 Spadina Ave. and 1 and 19 Draper Street - Zoning Amendment – Final Report</t>
  </si>
  <si>
    <t>centroid of area ? get polygon from somewhere or digitze it</t>
  </si>
  <si>
    <t>18000-10</t>
  </si>
  <si>
    <t>Downsview West District</t>
  </si>
  <si>
    <t>Canada Lands Company</t>
  </si>
  <si>
    <t>(-79.4793688, 43.7499423)</t>
  </si>
  <si>
    <t>40 Carl Hall Road, Toronto, Ontario</t>
  </si>
  <si>
    <t>Michel Trocme, Emily Reisman, Dennis Lago, Samuel Lozeau, Mona Han, Samantha Anderson, Harshitha Damodaran</t>
  </si>
  <si>
    <t>IPR</t>
  </si>
  <si>
    <t>still IPR for approval, nothing concrete yet -- may also use 1377 Sheppard as location for by-law or reports</t>
  </si>
  <si>
    <t>Commerce Court 191 Bay</t>
  </si>
  <si>
    <t>QuadReal Property Group</t>
  </si>
  <si>
    <t>(-79.3798811, 43.6477327)</t>
  </si>
  <si>
    <t>191 Bay Street, Toronto, Ontario</t>
  </si>
  <si>
    <t xml:space="preserve">Master Planning </t>
  </si>
  <si>
    <t>Frank Lewinberg, Christine Fang-Denissov</t>
  </si>
  <si>
    <t>Christine Fang Denissov</t>
  </si>
  <si>
    <t>286 and 24</t>
  </si>
  <si>
    <t>65 and 3</t>
  </si>
  <si>
    <t>1626-2019, 1627-2019</t>
  </si>
  <si>
    <t>Agenda Item History - 2019.MM12.17</t>
  </si>
  <si>
    <t>find site specific infomation</t>
  </si>
  <si>
    <t>Cloverdale Mall Master Plan</t>
  </si>
  <si>
    <t>(-79.5552916, 43.6305826)</t>
  </si>
  <si>
    <t>250 The East Mall, Toronto, Ontario</t>
  </si>
  <si>
    <t>Eric Turcotte, Harshitha Damodaran</t>
  </si>
  <si>
    <t>Corals Zheng</t>
  </si>
  <si>
    <t>Has not been approved</t>
  </si>
  <si>
    <t>OPA and ZBA Under Review</t>
  </si>
  <si>
    <t>8 towers (up to 40 storeys)</t>
  </si>
  <si>
    <t>Agenda Item History - 2021.EY23.26</t>
  </si>
  <si>
    <t>only had preliminary report and request for community engagement, no approval nor movements since 2021</t>
  </si>
  <si>
    <t>CF Fairview Mall Intensification</t>
  </si>
  <si>
    <t>Cadillac Fairview (CF)</t>
  </si>
  <si>
    <t>(-79.3432322, 43.7778776)</t>
  </si>
  <si>
    <t>1800 Sheppard Avenue East, Toronto, Ontario</t>
  </si>
  <si>
    <t>Master Planning, Engagement,  Urban Design, Transit-Oriented Development</t>
  </si>
  <si>
    <t>Commercial/Residential</t>
  </si>
  <si>
    <t>Eric Turcotte, Leigh McGrath, Mihaly Szabo</t>
  </si>
  <si>
    <t>Eric Turcotte</t>
  </si>
  <si>
    <t>Desi Simova</t>
  </si>
  <si>
    <t>OPA</t>
  </si>
  <si>
    <t>14 new buildings from 24-52 storeys</t>
  </si>
  <si>
    <t>1355-2024</t>
  </si>
  <si>
    <t>1800 Sheppard Avenue East – Official Plan Amendment – Decision Report – Approval</t>
  </si>
  <si>
    <t>find centroid of this specific area? as detailed in the attachments on the report for this project</t>
  </si>
  <si>
    <t>Jane Finch Mall Redevelopment</t>
  </si>
  <si>
    <t>Brad-Jay Investments Ltd.</t>
  </si>
  <si>
    <t xml:space="preserve">Yes  </t>
  </si>
  <si>
    <t>(-79.5149534, 43.7565924)</t>
  </si>
  <si>
    <t>1911 Finch Avenue West, Toronto, Ontario</t>
  </si>
  <si>
    <t>Master Planning, Consultation and Engagement,  Urban Design Guidelines, Development Approvals, Planning Analysis</t>
  </si>
  <si>
    <t>Craig Lametti, Emily Reisman, Yasmin Afshar</t>
  </si>
  <si>
    <t>Craig Lametti</t>
  </si>
  <si>
    <t>Yasmin Afshar</t>
  </si>
  <si>
    <t>A (138, 148.8), B (145.4, 118.4), C (123.6, 90.7)</t>
  </si>
  <si>
    <t>A (43, 47), B (45, 36), C (39, 28)</t>
  </si>
  <si>
    <t>OPA (611-2024), ZBA (612-2024), ZBA (613-2024)</t>
  </si>
  <si>
    <t>OPA and ZBA approval report</t>
  </si>
  <si>
    <t>Bathurst and Bridgman Block</t>
  </si>
  <si>
    <t xml:space="preserve">Albar Development Inc. </t>
  </si>
  <si>
    <t>(-79.4147526, 43.6751576)</t>
  </si>
  <si>
    <t>1191 Bathurst Street, Toronto, Ontario</t>
  </si>
  <si>
    <t>Master Planning, Development Approvals, Engagement</t>
  </si>
  <si>
    <t>Christine Fang-Denissov, Lauren Haein An, Christie Chin</t>
  </si>
  <si>
    <t>242.4, 228.7, 188, 49.9</t>
  </si>
  <si>
    <t>70, 64, 55, 12</t>
  </si>
  <si>
    <t>Bathurst &amp; Bridgman Block - Urban Strategies</t>
  </si>
  <si>
    <t>no further information about future developments -- no ZBA, no OPA, nothing</t>
  </si>
  <si>
    <t>Quayside</t>
  </si>
  <si>
    <t>Quayside Impact Limited Partnership</t>
  </si>
  <si>
    <t>(-79.3632410, 43.6466171)</t>
  </si>
  <si>
    <t>259 Lake Shore Boulevard, Toronto, Ontario</t>
  </si>
  <si>
    <t>Master Planning, Approvals, Engagement,  Urban Design</t>
  </si>
  <si>
    <t>Waterfront</t>
  </si>
  <si>
    <t>Benjamin Hoff, Anne Benaroya, Dennis Lago, Inger Squires</t>
  </si>
  <si>
    <t>852-2024</t>
  </si>
  <si>
    <t>257-259 and 291 Lake Shore Blvd E, 2 Small Street and 200 Queens Quay E (Quayside Blocks 1 &amp; 2) – Zoning By-law Amendment Application – Decision Report – Approval</t>
  </si>
  <si>
    <t xml:space="preserve">supposedly there is a 333 lake shore planning approval document -- currently nonexistent, but everything else for </t>
  </si>
  <si>
    <t>(-79.3597922, 43.6469674)</t>
  </si>
  <si>
    <t>333 Lake Shore Boulevard, Toronto, Ontario</t>
  </si>
  <si>
    <t>Canada Square</t>
  </si>
  <si>
    <t>(-79.3984815, 43.7060136)</t>
  </si>
  <si>
    <t>2200 Yonge Street, Toronto, Ontario</t>
  </si>
  <si>
    <t>Master Planning,  Development Approvals, Engagement</t>
  </si>
  <si>
    <t>Christine Fang-Denissov, Craig Lametti</t>
  </si>
  <si>
    <t>Sara Eng?</t>
  </si>
  <si>
    <t>Agenda Item History - 2022.PH35.10</t>
  </si>
  <si>
    <t>no approval reports for the ZBA or OPA (only a preliminary and supplementary report -- how is this not available in city archives ? can't find any relevant information because there is no finalized report with all of the details</t>
  </si>
  <si>
    <t>Under Concord</t>
  </si>
  <si>
    <t>Concord Adex</t>
  </si>
  <si>
    <t>(-79.3978928, 43.6374145)</t>
  </si>
  <si>
    <t>38 Dan Leckie Way, Toronto, Ontario</t>
  </si>
  <si>
    <t>Commercial</t>
  </si>
  <si>
    <t>Under Concord - Urban Strategies</t>
  </si>
  <si>
    <t>still no approval reports from ZBA that was sent in for this project -- can only find projects by the Bentway, but they also don't have any approval reports or anything. Maybe I just need an address that this was filed under at the time? or at least the year the report was discussed.</t>
  </si>
  <si>
    <t>Queen Ashbridge/Don Summerville Revitalization</t>
  </si>
  <si>
    <t>Context Development Inc.</t>
  </si>
  <si>
    <t>(-79.3168033, 43.6656687)</t>
  </si>
  <si>
    <t>1070 Eastern Avenue, Toronto, Ontario</t>
  </si>
  <si>
    <t>Master Planning, Approvals,  Urban Design</t>
  </si>
  <si>
    <t>Benjamin Hoff, Yasmin Afshar</t>
  </si>
  <si>
    <t>8.8-10</t>
  </si>
  <si>
    <t>10, 17</t>
  </si>
  <si>
    <t>OP (830-2020), ZBA (831-2020), ZBA (832-2020), ZBA (76-2023), ZBA (77-2023), 833-2020</t>
  </si>
  <si>
    <t>1555-1575 Queen Street East – Official Plan and Zoning Amendment, Part Lot Control, and Rental Housing Demolition and Conversion – Final Report</t>
  </si>
  <si>
    <t>location of report is right next to the address, not sure if this is the correct report but there are no other reports anyways on this site</t>
  </si>
  <si>
    <t>(-79.3184975, 43.6654821)</t>
  </si>
  <si>
    <t>1555 Queen Street East</t>
  </si>
  <si>
    <t>(-79.3178525, 43.6656125)</t>
  </si>
  <si>
    <t>1575 Queen Street East</t>
  </si>
  <si>
    <t>Scarborough Town Centre Master Plan</t>
  </si>
  <si>
    <t>(-79.2570532, 43.7785696)</t>
  </si>
  <si>
    <t>300 Borough Drive, Scarborough, Ontario</t>
  </si>
  <si>
    <t>Harshitha Damodaran, Samantha Anderson</t>
  </si>
  <si>
    <t xml:space="preserve">OPA </t>
  </si>
  <si>
    <t>OP (744-2024)</t>
  </si>
  <si>
    <t>OLT OPA Approval Report</t>
  </si>
  <si>
    <t>no approval reports for this project only a request for directions from ontario land tribunal in 2024 -- not sure where this has gone ever since</t>
  </si>
  <si>
    <t xml:space="preserve">Dufferin Mall Redevelopment </t>
  </si>
  <si>
    <t>Primaris Management Inc.</t>
  </si>
  <si>
    <t>(-79.4349648, 43.6580205)</t>
  </si>
  <si>
    <t>900 Dufferin Street, Toronto, Ontario</t>
  </si>
  <si>
    <t>Master Planning, Approvals, Engagement</t>
  </si>
  <si>
    <t>Eric Turcotte, Sirous Ghanbarzadeh, James DiPaolo, Aya Almaddah, Mihaly Szabo</t>
  </si>
  <si>
    <t xml:space="preserve">OPA and ZBA Request for Directions </t>
  </si>
  <si>
    <t>Request for Direction</t>
  </si>
  <si>
    <t>86.8, 133.4 and 121.1</t>
  </si>
  <si>
    <t>23, 39 and 35</t>
  </si>
  <si>
    <t>900 Dufferin Street - Official Plan Amendment and Zoning By-law Amendment Application - Request for Directions Report</t>
  </si>
  <si>
    <t>no approval report but they have an amended request for directions whatever that means -- follow up on progress or if the reported information is finalized</t>
  </si>
  <si>
    <t>2200 Eglinton Avenue East</t>
  </si>
  <si>
    <t>Dream Asset Management, Dundeal Canada (GP) Inc.</t>
  </si>
  <si>
    <t>(-79.2808675, 43.7298366)</t>
  </si>
  <si>
    <t>2200 Eglinton Avenue East, Toronto Ontario</t>
  </si>
  <si>
    <t>Benjamin Hoff, Inger Squires, Peter Pantalone</t>
  </si>
  <si>
    <t>2200 to 2206 Eglinton Avenue East, 1020 to 1030 Birchmount Road and 75 Thermos Road - Official Plan Amendment and Zoning By-law Amendment - Request for Directions</t>
  </si>
  <si>
    <t>no approval, only preliminary report and request for directions and ontario land tribunal report -- still don't know how this is going</t>
  </si>
  <si>
    <t>SickKids Patient Support Centre</t>
  </si>
  <si>
    <t>SickKids</t>
  </si>
  <si>
    <t xml:space="preserve">Hospital/Medical Facility </t>
  </si>
  <si>
    <t>(-79.3857651, 43.6575252)</t>
  </si>
  <si>
    <t>175 Elizabeth Street, Toronto, Ontario</t>
  </si>
  <si>
    <t>Healthcare</t>
  </si>
  <si>
    <t>Eric Turcotte, Josh Kohler, Sirous Ghanbarzadeh, Mihaly Szabo</t>
  </si>
  <si>
    <t>ZBA (1302-2018, 1303-2018), OPA (1329-2018)</t>
  </si>
  <si>
    <t>175 Elizabeth Street - Official Plan and Zoning By-law Amendment Applications – Final Report</t>
  </si>
  <si>
    <t>nothing extra needed</t>
  </si>
  <si>
    <t>670-690 Progress Avenue (Fieldgate Consilium)</t>
  </si>
  <si>
    <t>Fieldgate Urban</t>
  </si>
  <si>
    <t>(-79.2499983, 43.7774148)</t>
  </si>
  <si>
    <t>670 Progress Avenue</t>
  </si>
  <si>
    <t>Cyndi Rottenberg-Walker, James DiPaolo</t>
  </si>
  <si>
    <t>James Di Paolo</t>
  </si>
  <si>
    <t xml:space="preserve">OPA and ZBA under review </t>
  </si>
  <si>
    <t>1,57</t>
  </si>
  <si>
    <t>124.95, 60.1, 111.65, 122.5, 163.3, 59.65, 133.35</t>
  </si>
  <si>
    <t>40, 18, 37, 39, 54, 18, 43</t>
  </si>
  <si>
    <t>OLT-22-003924</t>
  </si>
  <si>
    <t>670-690 Progress Avenue Report</t>
  </si>
  <si>
    <t>OLT approved amendments but by-law # N/A</t>
  </si>
  <si>
    <t>(-79.2487831, 43.7781023)</t>
  </si>
  <si>
    <t>690 Progress Avenue</t>
  </si>
  <si>
    <t>OLT Approval Decision - 670-690 Progress Ave - fieldgateurban</t>
  </si>
  <si>
    <t>West Don Lands Affordable Housing</t>
  </si>
  <si>
    <t>DREAM, Tricon Capitol Group, Kilmer Van Nostrand Co. Limited</t>
  </si>
  <si>
    <t>Central Waterfront and King-Parliament Secondary Plan areas (125 Mill Street)</t>
  </si>
  <si>
    <t xml:space="preserve">OPA and ZBA approved via MZO, Site Plan under review </t>
  </si>
  <si>
    <t>2 new buildings 45-storey and 32-storey</t>
  </si>
  <si>
    <t>East Harbour</t>
  </si>
  <si>
    <t>East Harbour area</t>
  </si>
  <si>
    <t>Brownfield Remediation/Mixed Use</t>
  </si>
  <si>
    <t>Benjamin Hoff, Geoff Whittaker, Samuel Lozeau, Harshitha Damodaran</t>
  </si>
  <si>
    <t>Kenny Lamizana</t>
  </si>
  <si>
    <t>Employment Area Conversion Approved via MZO</t>
  </si>
  <si>
    <t>East Harbour - Cadillac Fairview</t>
  </si>
  <si>
    <t xml:space="preserve">find specific address </t>
  </si>
  <si>
    <t>505 Richmond Street West, Waterworks</t>
  </si>
  <si>
    <t>MOD Developments Inc., Woodcliffe Landmark Properties</t>
  </si>
  <si>
    <t>(-79.3994334, 43.6471064)</t>
  </si>
  <si>
    <t>505 Richmond Street West, Toronto, Ontario</t>
  </si>
  <si>
    <t xml:space="preserve">ZBA and Site Plan </t>
  </si>
  <si>
    <t>ZBA (848-2017, 849-2017), MM-ZBA (1459-2017, 1460-2017)</t>
  </si>
  <si>
    <t>497, 505 and 511 Richmond Street West Zoning Amendment – Final Report</t>
  </si>
  <si>
    <t>has member-motion-amended ZBA on top of previously approved ZBA and stuff</t>
  </si>
  <si>
    <t>Bloor &amp; Bathurst (Honest Ed's)</t>
  </si>
  <si>
    <t xml:space="preserve">Westbank </t>
  </si>
  <si>
    <t>(-79.4120596, 43.6646854)</t>
  </si>
  <si>
    <t>581 Bloor Street West, Toronto, Ontario</t>
  </si>
  <si>
    <t>Development Approvals, TOD</t>
  </si>
  <si>
    <t>Frank Lewinberg, Benjamin Hoff, Josh Kohler</t>
  </si>
  <si>
    <t>85, 82, 77,  61, and 47</t>
  </si>
  <si>
    <t>5 new buildings 26, 25, 24, 19 and 13 storeys</t>
  </si>
  <si>
    <t>OPA (1104-2017), ZBA (1105-2017, 1106-2017)</t>
  </si>
  <si>
    <t>Honest Ed’s and Mirvish Village</t>
  </si>
  <si>
    <t>done?</t>
  </si>
  <si>
    <t xml:space="preserve">Sterling Road Redevelopment </t>
  </si>
  <si>
    <t>Castlepoint Greybrook Sterling Inc., Hines</t>
  </si>
  <si>
    <t>(-79.4452017, 43.6546126)</t>
  </si>
  <si>
    <t>158 Sterling Road, Toronto, Ontario</t>
  </si>
  <si>
    <t>8.57 and 6.06</t>
  </si>
  <si>
    <t>OPA (469-2025), ZBA (470-2025)</t>
  </si>
  <si>
    <t>158 Sterling Road (Blocks 5B, 5C and 5D) and 190 Sterling Road (Block 3B) – Official Plan and Zoning By-law Amendment Applications – Decision Report – Approval</t>
  </si>
  <si>
    <t>Celestica Development Proposal</t>
  </si>
  <si>
    <t>Celestica</t>
  </si>
  <si>
    <t>Private-sector, Industrial/Corporate</t>
  </si>
  <si>
    <t>(-79.3407175, 43.7232253)</t>
  </si>
  <si>
    <t>844 Don Mills Road, Toronto, Ontario</t>
  </si>
  <si>
    <t>2018-2022</t>
  </si>
  <si>
    <t>OPA under review, ZBA approved</t>
  </si>
  <si>
    <t>ZBA (1214-2019 (LPAT))</t>
  </si>
  <si>
    <t xml:space="preserve">Celestica - Current Development Applications </t>
  </si>
  <si>
    <t xml:space="preserve">Project details unclear. Client has changed as Celestica sold development. </t>
  </si>
  <si>
    <t>Galleria Mall Redevelopment</t>
  </si>
  <si>
    <t xml:space="preserve">Freed Deveopments, Almadev. </t>
  </si>
  <si>
    <t>(-79.4410701, 43.6677361)</t>
  </si>
  <si>
    <t>1245 Dupont Street, Toronto, Ontario</t>
  </si>
  <si>
    <t>Melanie Hare, Christine Fang-Denissov, Sirous Ghanbar Zadeh, Aya Almaddah, Sean Quin</t>
  </si>
  <si>
    <t xml:space="preserve">2019 and ongoing </t>
  </si>
  <si>
    <t>OPA and ZBA, Site Plan subject to NOAC (Notice of Approval Conditions Issued)</t>
  </si>
  <si>
    <t>OLT-24-000440</t>
  </si>
  <si>
    <t>1245 and 1285 Dupont Street, 1260 Dufferin Street, and 213 Emerson Avenue – Ontario Land Tribunal Hearing – Request for Directions</t>
  </si>
  <si>
    <t>nothing as of late, there are no apporved bylaws</t>
  </si>
  <si>
    <t>Yorkdale Shopping Centre</t>
  </si>
  <si>
    <t>Oxford Properties</t>
  </si>
  <si>
    <t>(-79.4529083, 43.7254565)</t>
  </si>
  <si>
    <t>3401 Dufferin Street, Toronto, Ontario</t>
  </si>
  <si>
    <t xml:space="preserve">Commericial </t>
  </si>
  <si>
    <t>Frank Lewinberg, Michel Trocme, Mary Castel, Aya Almaddah, Ning Lin, Desi Simova</t>
  </si>
  <si>
    <t>OPA/Secondary Plan</t>
  </si>
  <si>
    <t>OLT-22-003315</t>
  </si>
  <si>
    <t>3401 Dufferin Street and 1 Yorkdale Road – Official Plan Amendment and Dufferin Street Secondary Plan – Ontario Land Tribunal Hearing – Request for Directions</t>
  </si>
  <si>
    <t>went to OLT, but no bylaws came out of this</t>
  </si>
  <si>
    <t>09016</t>
  </si>
  <si>
    <t>CIBC Square</t>
  </si>
  <si>
    <t>Ivanhoe Cambridge, Metrolinx, Hines</t>
  </si>
  <si>
    <t>Real Estate Developers, Crown Agency</t>
  </si>
  <si>
    <t>(-79.3774342, 43.6450184)</t>
  </si>
  <si>
    <t>81-141 Bay Street</t>
  </si>
  <si>
    <t>Frank Lewinberg, Benjamin Hoff, Inger Squires</t>
  </si>
  <si>
    <t>1104-2016</t>
  </si>
  <si>
    <t>141 Bay St – Zoning Amendment – Final Report</t>
  </si>
  <si>
    <t>hopefully this is the correct approval document -- theres another one for 1 front street west and 141 bay (development on top of dominion building) that got a refusal</t>
  </si>
  <si>
    <t>09034</t>
  </si>
  <si>
    <t>Alexandra Park Revitalization</t>
  </si>
  <si>
    <t>Toronto Community Housing Corporation, Tridel</t>
  </si>
  <si>
    <t>Real Estate Developers, City Corporation</t>
  </si>
  <si>
    <t>(-79.4001077, 43.6521783)</t>
  </si>
  <si>
    <t>571 Dundas Street West, Toronto, Ontario</t>
  </si>
  <si>
    <t xml:space="preserve">Master Planning, Development Approvals, Consultation and Engagement </t>
  </si>
  <si>
    <t>Christine Fang-Denissov, Cyndi Rottenberg-Walker, Michel Trocme, Dennis Lago, Harshitha Damodaran, Sean Quin</t>
  </si>
  <si>
    <t>Grant Mason?</t>
  </si>
  <si>
    <t>48.5 and 46.5</t>
  </si>
  <si>
    <t>15 and 14</t>
  </si>
  <si>
    <t>OPA (839-2020, 840-2020), ZBA (841-2020, 842-2020)</t>
  </si>
  <si>
    <t>Alexandra Park and Atkinson Housing Co-operative Revitalization - 571 Dundas Street West, 91 Augusta Avenue, and 73-75 Augusta Square - Official Plan Amendment, Zoning By-law Amendment, Rental Housing Demolition and Conversion – Phase 2 – Final Report</t>
  </si>
  <si>
    <t>total number of residential units not mentioned, but they are replacing the 77 social housing units with at least 410 units -- not sure if that's the total amount</t>
  </si>
  <si>
    <t>Reina (689 The Queensway)</t>
  </si>
  <si>
    <t>Reina Developments Inc.</t>
  </si>
  <si>
    <t>(-79.4999789, 43.6267155)</t>
  </si>
  <si>
    <t>689 The Queensway, Toronto, Ontario</t>
  </si>
  <si>
    <t>Approvals, Engagement</t>
  </si>
  <si>
    <t>Commericial/Residential</t>
  </si>
  <si>
    <t>680-2021</t>
  </si>
  <si>
    <t>689 The Queensway - Zoning By-law Amendment Application - Final Report</t>
  </si>
  <si>
    <t>Allied 41 Fraser Development Approvals</t>
  </si>
  <si>
    <t>Allied Real Estate Investment Trust</t>
  </si>
  <si>
    <t>(-79.4235240, 43.6369546)</t>
  </si>
  <si>
    <t>41 Fraser Avenue, Toronto, Ontario</t>
  </si>
  <si>
    <t>Office/Commercial</t>
  </si>
  <si>
    <t>50.33, 55.36</t>
  </si>
  <si>
    <t>10, 11</t>
  </si>
  <si>
    <t>453-2023 (HEA)</t>
  </si>
  <si>
    <t>39-53 Fraser Avenue, 8-42 Pardee Avenue and 135 Liberty Street - Zoning By-law Amendment Application – Decision Report - Approval</t>
  </si>
  <si>
    <t>only has heritage easement agreement from 2023, nothing after</t>
  </si>
  <si>
    <t>Gerrard-Carlaw North TOC</t>
  </si>
  <si>
    <t>Choice Properties Limited Partnership</t>
  </si>
  <si>
    <t>???</t>
  </si>
  <si>
    <t>Master Planning, Development Approvals</t>
  </si>
  <si>
    <t>883-2024</t>
  </si>
  <si>
    <t>Agenda Item History - 2023.PH8.5</t>
  </si>
  <si>
    <t>not too sure if this is the correct by-law, but i'm assuming it applies to the gerrard-carlaw area -- this ZBA has been approved so I'll include what I can from it</t>
  </si>
  <si>
    <t>CF Sherway Gardens Mall Intensification</t>
  </si>
  <si>
    <t>(-79.5571424, 43.6118216)</t>
  </si>
  <si>
    <t>25 The West Mall, Etobicoke, Ontario</t>
  </si>
  <si>
    <t>Eric Turcotte, Leigh McGrath, Mihaly Szabo, Peter Pantalone</t>
  </si>
  <si>
    <t>1535-2019</t>
  </si>
  <si>
    <t>Sherway Area Secondary Plan - City-initiated Official Plan Amendment and 25 The West Mall (Sherway Gardens Mall) - Official Plan Amendment Application – Ontario Land Tribunal Hearings – Request for Directions</t>
  </si>
  <si>
    <t>OPA is the secondary plan for the sherway areafrom 2019, ZBA not approved yet -- OLT case number OLT-22-002175</t>
  </si>
  <si>
    <t>Scarborough Health Network Centenary Hospital</t>
  </si>
  <si>
    <t>Kasian Architecture</t>
  </si>
  <si>
    <t>Design Firm</t>
  </si>
  <si>
    <t>(-79.2051908, 43.7801304)</t>
  </si>
  <si>
    <t>2863 Ellesmere Road, Scarborough, Ontario</t>
  </si>
  <si>
    <t>Development Aprovals</t>
  </si>
  <si>
    <t>Eric Turcotte, Josh Kohler</t>
  </si>
  <si>
    <t>figure out what the specific development approvals are for!</t>
  </si>
  <si>
    <t>50-64 Merton Street</t>
  </si>
  <si>
    <t>50-64 Merton Limited</t>
  </si>
  <si>
    <t>Private Developer</t>
  </si>
  <si>
    <t>(-79.3945757, 43.6967895)</t>
  </si>
  <si>
    <t>50 Merton Street</t>
  </si>
  <si>
    <t>Development Approvals, Planning Analysis, OLT Appeal</t>
  </si>
  <si>
    <t>George Dark, Leigh McGrath, Peter Pantalone</t>
  </si>
  <si>
    <t>OPA and ZBA Interim Approval</t>
  </si>
  <si>
    <t>OLT Appeal Decision</t>
  </si>
  <si>
    <t>2955 Bloor Street West Riocan</t>
  </si>
  <si>
    <t>RioCan Real Estate Investment Trust</t>
  </si>
  <si>
    <t>(-79.5073709, 43.6479739)</t>
  </si>
  <si>
    <t>2939 Bloor Street West, Toronto, Ontario</t>
  </si>
  <si>
    <t>Leigh McGrath, Lena Sanz Tovar</t>
  </si>
  <si>
    <t>2022/Pending</t>
  </si>
  <si>
    <t>ZBA Interim  Approval</t>
  </si>
  <si>
    <t>2939-2943 Bloor Street West - Zoning By-law Amendment Application - Request for Direction Report</t>
  </si>
  <si>
    <t>no news? request for directions was from 3 years ago, no OLT or anything</t>
  </si>
  <si>
    <t>Woodbine Northwest Residential Village/Woodbine Transit-Oriented Community Secondary Plan</t>
  </si>
  <si>
    <t>Woodbine Entertainment Group</t>
  </si>
  <si>
    <t>Entertainment Agency/Private Developer</t>
  </si>
  <si>
    <t>Woodbine area</t>
  </si>
  <si>
    <t>Development Approva, Master Planning, New Community Plan, Urban Design Guidelines</t>
  </si>
  <si>
    <r>
      <rPr>
        <sz val="11"/>
        <color rgb="FF000000"/>
        <rFont val="Aptos Narrow"/>
        <scheme val="minor"/>
      </rPr>
      <t xml:space="preserve">Christine Fang-Denissov, Michel Trocme, Josh Kohler, </t>
    </r>
    <r>
      <rPr>
        <b/>
        <sz val="11"/>
        <color rgb="FF000000"/>
        <rFont val="Aptos Narrow"/>
        <scheme val="minor"/>
      </rPr>
      <t>CK?</t>
    </r>
  </si>
  <si>
    <t>Woodbine TOC Secondary Plan - City Council Agenda Item</t>
  </si>
  <si>
    <t>Allied King Spadina Development Approvals &amp; OLT Appeals</t>
  </si>
  <si>
    <t>Allied Properties Management LP</t>
  </si>
  <si>
    <t>??</t>
  </si>
  <si>
    <t>Consultation and Engagement, Development Approval, OTL Appeal, Planning Analysis</t>
  </si>
  <si>
    <r>
      <rPr>
        <sz val="11"/>
        <color rgb="FF000000"/>
        <rFont val="Aptos Narrow"/>
        <scheme val="minor"/>
      </rPr>
      <t xml:space="preserve">Benjamin Hoff, Josh Kohler, </t>
    </r>
    <r>
      <rPr>
        <b/>
        <sz val="11"/>
        <color rgb="FF000000"/>
        <rFont val="Aptos Narrow"/>
        <scheme val="minor"/>
      </rPr>
      <t>DG?</t>
    </r>
  </si>
  <si>
    <t>112-2020</t>
  </si>
  <si>
    <t>King-Spadina Secondary Plan Update – Final Report</t>
  </si>
  <si>
    <t>what are the addresses associated with this project? I can only find secondary plan amendments but not a specific address for this project</t>
  </si>
  <si>
    <t>18000 - 5</t>
  </si>
  <si>
    <t>Downsview Taxiway West/Hangar District</t>
  </si>
  <si>
    <t>Downsview Metro Devco Inc. (o/a Northcrest Developments)</t>
  </si>
  <si>
    <t>(-79.4727380, 43.7370430)</t>
  </si>
  <si>
    <t>123 Garratt Boulevard, Toronto, Ontario</t>
  </si>
  <si>
    <r>
      <rPr>
        <sz val="11"/>
        <color rgb="FF000000"/>
        <rFont val="Aptos Narrow"/>
        <scheme val="minor"/>
      </rPr>
      <t xml:space="preserve">Emily Reisman, Lauren Haein An, </t>
    </r>
    <r>
      <rPr>
        <b/>
        <sz val="11"/>
        <color rgb="FF000000"/>
        <rFont val="Aptos Narrow"/>
        <scheme val="minor"/>
      </rPr>
      <t>JM?</t>
    </r>
  </si>
  <si>
    <t>842-2025</t>
  </si>
  <si>
    <t>backgroundfile-256438.pdf</t>
  </si>
  <si>
    <t>10% of residential gfa as affordable housing -- how to calculate for data in terms of units?</t>
  </si>
  <si>
    <t>PROJECT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</si>
</sst>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rgb="FF000000"/>
      <name val="Aptos"/>
      <family val="2"/>
    </font>
    <font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0"/>
      <color rgb="FF000000"/>
      <name val="La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"/>
    </font>
    <font>
      <sz val="11"/>
      <color theme="4" tint="0.79998168889431442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theme="1"/>
      <name val="Calibri"/>
      <family val="2"/>
    </font>
    <font>
      <sz val="10"/>
      <color theme="1"/>
      <name val="Aptos"/>
      <family val="2"/>
    </font>
    <font>
      <sz val="10"/>
      <color rgb="FF000000"/>
      <name val="Aptos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0" fillId="7" borderId="0" xfId="0" applyFill="1"/>
    <xf numFmtId="0" fontId="4" fillId="0" borderId="0" xfId="1"/>
    <xf numFmtId="0" fontId="5" fillId="0" borderId="0" xfId="0" applyFont="1"/>
    <xf numFmtId="0" fontId="6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8" fillId="9" borderId="0" xfId="0" applyFont="1" applyFill="1"/>
    <xf numFmtId="0" fontId="8" fillId="9" borderId="0" xfId="0" applyFont="1" applyFill="1" applyAlignment="1">
      <alignment vertical="center"/>
    </xf>
    <xf numFmtId="0" fontId="3" fillId="9" borderId="0" xfId="0" applyFont="1" applyFill="1" applyAlignment="1">
      <alignment horizontal="left" vertical="center" indent="1"/>
    </xf>
    <xf numFmtId="0" fontId="1" fillId="9" borderId="0" xfId="0" applyFont="1" applyFill="1"/>
    <xf numFmtId="0" fontId="9" fillId="9" borderId="0" xfId="0" applyFont="1" applyFill="1"/>
    <xf numFmtId="0" fontId="0" fillId="12" borderId="0" xfId="0" applyFill="1"/>
    <xf numFmtId="0" fontId="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9" borderId="0" xfId="0" applyFont="1" applyFill="1"/>
    <xf numFmtId="0" fontId="0" fillId="13" borderId="0" xfId="0" applyFill="1"/>
    <xf numFmtId="0" fontId="12" fillId="0" borderId="1" xfId="0" applyFont="1" applyBorder="1"/>
    <xf numFmtId="0" fontId="10" fillId="0" borderId="0" xfId="0" applyFont="1"/>
    <xf numFmtId="0" fontId="7" fillId="13" borderId="0" xfId="0" applyFont="1" applyFill="1"/>
    <xf numFmtId="0" fontId="1" fillId="9" borderId="0" xfId="0" applyFont="1" applyFill="1" applyAlignment="1">
      <alignment vertical="center"/>
    </xf>
    <xf numFmtId="0" fontId="0" fillId="0" borderId="2" xfId="0" applyBorder="1"/>
    <xf numFmtId="49" fontId="13" fillId="9" borderId="0" xfId="0" applyNumberFormat="1" applyFont="1" applyFill="1" applyAlignment="1">
      <alignment horizontal="right"/>
    </xf>
    <xf numFmtId="49" fontId="13" fillId="0" borderId="0" xfId="0" applyNumberFormat="1" applyFont="1" applyAlignment="1">
      <alignment horizontal="right"/>
    </xf>
    <xf numFmtId="49" fontId="2" fillId="9" borderId="0" xfId="0" applyNumberFormat="1" applyFont="1" applyFill="1" applyAlignment="1">
      <alignment horizontal="right"/>
    </xf>
    <xf numFmtId="49" fontId="2" fillId="0" borderId="0" xfId="0" applyNumberFormat="1" applyFont="1" applyAlignment="1">
      <alignment horizontal="right"/>
    </xf>
    <xf numFmtId="49" fontId="2" fillId="14" borderId="0" xfId="0" applyNumberFormat="1" applyFont="1" applyFill="1" applyAlignment="1">
      <alignment horizontal="right"/>
    </xf>
    <xf numFmtId="49" fontId="15" fillId="9" borderId="0" xfId="0" applyNumberFormat="1" applyFont="1" applyFill="1" applyAlignment="1">
      <alignment horizontal="right"/>
    </xf>
    <xf numFmtId="49" fontId="15" fillId="0" borderId="0" xfId="0" applyNumberFormat="1" applyFont="1" applyAlignment="1">
      <alignment horizontal="right"/>
    </xf>
    <xf numFmtId="49" fontId="15" fillId="14" borderId="0" xfId="0" applyNumberFormat="1" applyFont="1" applyFill="1" applyAlignment="1">
      <alignment horizontal="right"/>
    </xf>
    <xf numFmtId="49" fontId="14" fillId="15" borderId="0" xfId="0" applyNumberFormat="1" applyFont="1" applyFill="1" applyAlignment="1">
      <alignment horizontal="right"/>
    </xf>
    <xf numFmtId="49" fontId="15" fillId="15" borderId="0" xfId="0" applyNumberFormat="1" applyFont="1" applyFill="1" applyAlignment="1">
      <alignment horizontal="right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theme="0" tint="-0.34998626667073579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theme="0" tint="-0.34998626667073579"/>
        </patternFill>
      </fill>
    </dxf>
    <dxf>
      <fill>
        <patternFill patternType="none">
          <fgColor indexed="64"/>
          <bgColor theme="0" tint="-0.34998626667073579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rgb="FFFFFF00"/>
        </patternFill>
      </fill>
    </dxf>
    <dxf>
      <font>
        <sz val="10"/>
      </font>
      <numFmt numFmtId="30" formatCode="@"/>
      <alignment horizontal="right"/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theme="0" tint="-0.34998626667073579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theme="0" tint="-0.34998626667073579"/>
        </patternFill>
      </fill>
    </dxf>
    <dxf>
      <fill>
        <patternFill patternType="none">
          <fgColor indexed="64"/>
          <bgColor theme="0" tint="-0.34998626667073579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rgb="FFFFFF00"/>
        </patternFill>
      </fill>
    </dxf>
    <dxf>
      <font>
        <sz val="10"/>
      </font>
      <numFmt numFmtId="30" formatCode="@"/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3E480-30FC-4330-8335-D17137C60777}" name="Table1" displayName="Table1" ref="A5:AH66" totalsRowShown="0">
  <autoFilter ref="A5:AH66" xr:uid="{AC93E480-30FC-4330-8335-D17137C60777}"/>
  <tableColumns count="34">
    <tableColumn id="1" xr3:uid="{3D375F53-355E-4341-BF9E-C3CEAD6FD1BC}" name="Job Number" dataDxfId="11"/>
    <tableColumn id="7" xr3:uid="{3DFEC870-3659-4069-8AA9-B4730E9E22F5}" name="In Toronto? " dataDxfId="10"/>
    <tableColumn id="2" xr3:uid="{3C6EFD76-5B21-4F38-A8EF-3F60495FAE23}" name="Name"/>
    <tableColumn id="3" xr3:uid="{FDBC6FF9-4C60-4CB8-90A8-4CB97D8824C7}" name="client"/>
    <tableColumn id="5" xr3:uid="{017BFA57-7509-410A-A29E-1EF81ED04A69}" name="Client Type"/>
    <tableColumn id="35" xr3:uid="{375D04BE-CB05-4B9A-B172-4528F9AFDCF1}" name="Included in Master DB"/>
    <tableColumn id="22" xr3:uid="{1AD5C7EE-EEE7-4FAD-99BA-D34AE578F6DE}" name="Centroid Coordinates"/>
    <tableColumn id="32" xr3:uid="{C7CBCEE0-F7A0-429E-ADC0-0542C977122B}" name="Longitude" dataDxfId="9">
      <calculatedColumnFormula>MID(Table1[[#This Row],[Centroid Coordinates]], 14+1, LEN(Table1[[#This Row],[Centroid Coordinates]]) - (14+1))</calculatedColumnFormula>
    </tableColumn>
    <tableColumn id="33" xr3:uid="{AF2B4475-2247-4B48-82F4-C621184E80E9}" name="Latitude" dataDxfId="8">
      <calculatedColumnFormula>MID(Table1[[#This Row],[Centroid Coordinates]], 1+1, LEN(Table1[[#This Row],[Centroid Coordinates]]) - (1+13))</calculatedColumnFormula>
    </tableColumn>
    <tableColumn id="4" xr3:uid="{7C115203-E776-4811-BF5B-D3F5311926E7}" name="address"/>
    <tableColumn id="6" xr3:uid="{C3A3ED62-6986-4983-81D5-552FDC4B02F3}" name="Project Type"/>
    <tableColumn id="13" xr3:uid="{0C32D317-0D19-4DDC-BA35-482F3E37765D}" name="Project Focus"/>
    <tableColumn id="8" xr3:uid="{176F4F1A-36D0-4BC9-B500-1D57E1C993A3}" name="Municipality/Jurisdiction"/>
    <tableColumn id="9" xr3:uid="{047649A9-DBD4-4978-991F-383D39EAC154}" name="Ward (Toronto)"/>
    <tableColumn id="10" xr3:uid="{EC307793-E657-4C29-9C7C-CB4AEAAAFC3E}" name="USI Team Members"/>
    <tableColumn id="11" xr3:uid="{1B02EE43-920A-49FC-9837-60F41493C387}" name="Principal in Charge"/>
    <tableColumn id="23" xr3:uid="{D402AEAE-922D-4E8D-85F4-1389EECDD92B}" name="Project Manager"/>
    <tableColumn id="30" xr3:uid="{1211DAC8-3996-4ADA-9B44-C863496F0989}" name="Project Start Date"/>
    <tableColumn id="31" xr3:uid="{07FCF756-61EC-4D4B-8701-BD02C72E4850}" name="Project End Date"/>
    <tableColumn id="12" xr3:uid="{41282BA3-72A8-4E3A-828C-BB22FB7BCE63}" name="Complete/Approval Year"/>
    <tableColumn id="14" xr3:uid="{E301C3E5-CFBE-4A98-AB20-1991BD23386F}" name="Approval type(s)"/>
    <tableColumn id="15" xr3:uid="{1DC89D94-AB81-4116-9179-1E6EDD1E3996}" name="Approval Status"/>
    <tableColumn id="25" xr3:uid="{004B7619-25FF-4DA3-A945-2D266844C54A}" name="Residential Units" dataDxfId="7"/>
    <tableColumn id="26" xr3:uid="{370859CF-4BF5-4DC8-94D3-5F88828053A7}" name="Affordable Units (%)" dataDxfId="6"/>
    <tableColumn id="29" xr3:uid="{0441F119-CB78-486D-A588-F3BC5302BE0C}" name="Affordable Units" dataDxfId="5"/>
    <tableColumn id="27" xr3:uid="{740D63FD-1CCF-4A1B-BC19-C96BDFF2B6E1}" name="Max. Non-Residential GFA" dataDxfId="4"/>
    <tableColumn id="28" xr3:uid="{4D5D866A-0E99-434D-A688-ADDAC6F4916F}" name="Min. Non-Residential GFA" dataDxfId="3"/>
    <tableColumn id="16" xr3:uid="{2CC6023F-E28E-46EE-B9C0-FF239F0BB6AD}" name="Density"/>
    <tableColumn id="17" xr3:uid="{E0BCB256-BA3F-4650-9CD8-E39B9B2FED3E}" name="Height (m)"/>
    <tableColumn id="18" xr3:uid="{D48AA2DF-789F-4844-ADBB-50DBDB34DD59}" name="Height (st)"/>
    <tableColumn id="19" xr3:uid="{A8C00FA1-45A3-4812-AD52-6565323C8432}" name="Site Area (m2)"/>
    <tableColumn id="24" xr3:uid="{5E6A57C4-731F-4661-B5C5-C77F28F72B1E}" name="By-Law  Number" dataDxfId="2"/>
    <tableColumn id="20" xr3:uid="{67142F4C-220B-432B-80B9-5B829CE282D5}" name="Most Recent Report"/>
    <tableColumn id="21" xr3:uid="{D91D7682-B6E8-45CA-A333-917D6A8D9392}" name="NOT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0377B-4AF9-43C4-9CC3-67E04C007A4E}" name="Table13" displayName="Table13" ref="A1:AH62" totalsRowShown="0">
  <autoFilter ref="A1:AH62" xr:uid="{9C10377B-4AF9-43C4-9CC3-67E04C007A4E}"/>
  <tableColumns count="34">
    <tableColumn id="1" xr3:uid="{FB6D100D-F8E1-4EAC-ABD3-4CA0CBC995EB}" name="PROJECT #" dataDxfId="21"/>
    <tableColumn id="7" xr3:uid="{E45DA48F-9398-4F3F-B37F-BE2BF0038A66}" name="In Toronto? " dataDxfId="20"/>
    <tableColumn id="2" xr3:uid="{DF585E68-0BF7-49FB-80CD-6E4EDA49FC55}" name="Name"/>
    <tableColumn id="3" xr3:uid="{2E84E078-F502-49C3-85F0-D2EDF21DE7F0}" name="client"/>
    <tableColumn id="5" xr3:uid="{A8B9C504-597C-45F5-AFF1-F9E99CB0E600}" name="Client Type"/>
    <tableColumn id="35" xr3:uid="{044CB9FE-485A-45F4-9317-8C79AFACAE05}" name="Included in Master DB"/>
    <tableColumn id="22" xr3:uid="{2CB9B6D4-62CF-4A3B-BC47-02CBBAAF8BD7}" name="Centroid Coordinates"/>
    <tableColumn id="32" xr3:uid="{576F5211-F324-46DC-9023-71DEB1FCAA0E}" name="Longitude" dataDxfId="19">
      <calculatedColumnFormula>MID(Table13[[#This Row],[Centroid Coordinates]], 14+1, LEN(Table13[[#This Row],[Centroid Coordinates]]) - (14+1))</calculatedColumnFormula>
    </tableColumn>
    <tableColumn id="33" xr3:uid="{F394A59B-3385-4B62-8736-D8AECBC2953D}" name="Latitude" dataDxfId="18">
      <calculatedColumnFormula>MID(Table13[[#This Row],[Centroid Coordinates]], 1+1, LEN(Table13[[#This Row],[Centroid Coordinates]]) - (1+13))</calculatedColumnFormula>
    </tableColumn>
    <tableColumn id="4" xr3:uid="{25D32EEA-A52A-4E53-B7A0-85554E5CFA2E}" name="address"/>
    <tableColumn id="6" xr3:uid="{C166984B-1CFB-42BE-B9B1-973E120FFB71}" name="Project Type"/>
    <tableColumn id="13" xr3:uid="{664F82F8-D053-4E62-91D3-928AE59E6B72}" name="Project Focus"/>
    <tableColumn id="8" xr3:uid="{D58BA598-F55E-42E1-B2F0-883943748941}" name="Municipality/Jurisdiction"/>
    <tableColumn id="9" xr3:uid="{7D072F76-8E80-4DB8-BF05-43C9C795C625}" name="Ward (Toronto)"/>
    <tableColumn id="10" xr3:uid="{945B43CC-A7D9-449C-850A-D74AA3C71C6F}" name="USI Team Members"/>
    <tableColumn id="11" xr3:uid="{6741FAC8-9ADE-41ED-A334-941B12F72C4F}" name="Principal in Charge"/>
    <tableColumn id="23" xr3:uid="{A634B740-BBBC-40B2-A0D7-E5DFD44B2ADD}" name="Project Manager"/>
    <tableColumn id="30" xr3:uid="{BF4AAE5E-C98A-44CA-AC30-6F5BD77D853C}" name="Project Start Date"/>
    <tableColumn id="31" xr3:uid="{18EE7FC3-BB38-4F70-A3C5-15A06050AAF4}" name="Project End Date"/>
    <tableColumn id="12" xr3:uid="{9B48F46F-B422-4D18-9DA0-18BC177316DC}" name="Complete/Approval Year"/>
    <tableColumn id="14" xr3:uid="{3FCAF0AC-80F7-432D-B4D8-D4FCBB854B0D}" name="Approval type(s)"/>
    <tableColumn id="15" xr3:uid="{8E32A22D-A558-4E8E-8D09-C20D385B5774}" name="Approval Status"/>
    <tableColumn id="25" xr3:uid="{BEA488EF-0EDD-4066-93C1-F6268FB459BD}" name="Residential Units" dataDxfId="17"/>
    <tableColumn id="26" xr3:uid="{33A9BF94-63F2-4C36-A91D-8B9C51FE3E0E}" name="Affordable Units (%)" dataDxfId="16"/>
    <tableColumn id="29" xr3:uid="{999B73D7-B4AF-4763-9CE8-2A05A6373812}" name="Affordable Units" dataDxfId="15"/>
    <tableColumn id="27" xr3:uid="{D39FDB64-98BB-4D93-97B5-0A27AAEDD12D}" name="Max. Non-Residential GFA" dataDxfId="14"/>
    <tableColumn id="28" xr3:uid="{559FED1C-96F8-4FFD-A738-FBEEB8189AD2}" name="Min. Non-Residential GFA" dataDxfId="13"/>
    <tableColumn id="16" xr3:uid="{F221A0E7-B470-441D-902C-33A9D177BCEB}" name="Density"/>
    <tableColumn id="17" xr3:uid="{69E23A41-EBF8-4239-9F82-99712D26ED3F}" name="Height (m)"/>
    <tableColumn id="18" xr3:uid="{C4B1B864-FAF2-46DF-9AD1-98F60FA5E89E}" name="Height (st)"/>
    <tableColumn id="19" xr3:uid="{B846CA0F-6F9F-450C-85B5-FA5AF8450DE0}" name="Site Area (m2)"/>
    <tableColumn id="24" xr3:uid="{AA55BC47-D7DD-436C-BFE2-7C3B0B5361E0}" name="By-Law  Number" dataDxfId="12"/>
    <tableColumn id="20" xr3:uid="{5BEE3A2C-BD6C-4AB5-9B83-46FD31F4A05A}" name="Most Recent Report"/>
    <tableColumn id="21" xr3:uid="{4972F5C5-6EBF-4583-AB92-CDC6A036F7DD}" name="NO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oronto.ca/legdocs/mmis/2020/ey/bgrd/backgroundfile-157600.pdf" TargetMode="External"/><Relationship Id="rId18" Type="http://schemas.openxmlformats.org/officeDocument/2006/relationships/hyperlink" Target="https://www.toronto.ca/legdocs/mmis/2024/ny/bgrd/backgroundfile-247199.pdf" TargetMode="External"/><Relationship Id="rId26" Type="http://schemas.openxmlformats.org/officeDocument/2006/relationships/hyperlink" Target="https://secure.toronto.ca/council/agenda-item.do?item=2025.PH18.11" TargetMode="External"/><Relationship Id="rId39" Type="http://schemas.openxmlformats.org/officeDocument/2006/relationships/hyperlink" Target="https://www.toronto.ca/legdocs/mmis/2025/te/bgrd/backgroundfile-251761.pdf" TargetMode="External"/><Relationship Id="rId21" Type="http://schemas.openxmlformats.org/officeDocument/2006/relationships/hyperlink" Target="https://secure.toronto.ca/council/agenda-item.do?item=2023.PH8.5" TargetMode="External"/><Relationship Id="rId34" Type="http://schemas.openxmlformats.org/officeDocument/2006/relationships/hyperlink" Target="https://www.toronto.ca/legdocs/mmis/2023/te/bgrd/backgroundfile-240091.pdf" TargetMode="External"/><Relationship Id="rId42" Type="http://schemas.openxmlformats.org/officeDocument/2006/relationships/hyperlink" Target="https://www.toronto.ca/legdocs/mmis/2024/te/bgrd/backgroundfile-244123.pdf" TargetMode="External"/><Relationship Id="rId47" Type="http://schemas.openxmlformats.org/officeDocument/2006/relationships/hyperlink" Target="https://secure.toronto.ca/council/agenda-item.do?item=2021.EY23.26" TargetMode="External"/><Relationship Id="rId50" Type="http://schemas.openxmlformats.org/officeDocument/2006/relationships/hyperlink" Target="https://www.toronto.ca/legdocs/mmis/2017/te/bgrd/backgroundfile-102235.pdf" TargetMode="External"/><Relationship Id="rId55" Type="http://schemas.openxmlformats.org/officeDocument/2006/relationships/hyperlink" Target="https://www.toronto.ca/legdocs/mmis/2024/cc/bgrd/backgroundfile-251449.pdf" TargetMode="External"/><Relationship Id="rId7" Type="http://schemas.openxmlformats.org/officeDocument/2006/relationships/hyperlink" Target="https://www.omb.gov.on.ca/e-decisions/OLT-22-004605-NOV-20-2024-ORD.pdf" TargetMode="External"/><Relationship Id="rId2" Type="http://schemas.openxmlformats.org/officeDocument/2006/relationships/hyperlink" Target="https://www.toronto.ca/legdocs/mmis/2024/ey/bgrd/backgroundfile-244836.pdf" TargetMode="External"/><Relationship Id="rId16" Type="http://schemas.openxmlformats.org/officeDocument/2006/relationships/hyperlink" Target="https://www.toronto.ca/legdocs/mmis/2025/te/bgrd/backgroundfile-256504.pdf" TargetMode="External"/><Relationship Id="rId29" Type="http://schemas.openxmlformats.org/officeDocument/2006/relationships/hyperlink" Target="https://www.toronto.ca/legdocs/mmis/2025/te/bgrd/backgroundfile-252997.pdf" TargetMode="External"/><Relationship Id="rId11" Type="http://schemas.openxmlformats.org/officeDocument/2006/relationships/hyperlink" Target="https://www.cadillacfairview.com/development/east-harbour/" TargetMode="External"/><Relationship Id="rId24" Type="http://schemas.openxmlformats.org/officeDocument/2006/relationships/hyperlink" Target="https://www.toronto.ca/legdocs/mmis/2024/te/bgrd/backgroundfile-247148.pdf" TargetMode="External"/><Relationship Id="rId32" Type="http://schemas.openxmlformats.org/officeDocument/2006/relationships/hyperlink" Target="https://www.toronto.ca/legdocs/mmis/2025/te/bgrd/backgroundfile-254256.pdf" TargetMode="External"/><Relationship Id="rId37" Type="http://schemas.openxmlformats.org/officeDocument/2006/relationships/hyperlink" Target="https://www.toronto.ca/legdocs/mmis/2023/ey/bgrd/backgroundfile-240542.pdf" TargetMode="External"/><Relationship Id="rId40" Type="http://schemas.openxmlformats.org/officeDocument/2006/relationships/hyperlink" Target="https://www.toronto.ca/legdocs/mmis/2024/cc/bgrd/backgroundfile-248186.pdf" TargetMode="External"/><Relationship Id="rId45" Type="http://schemas.openxmlformats.org/officeDocument/2006/relationships/hyperlink" Target="https://secure.toronto.ca/council/agenda-item.do?item=2019.MM12.17" TargetMode="External"/><Relationship Id="rId53" Type="http://schemas.openxmlformats.org/officeDocument/2006/relationships/hyperlink" Target="https://www.toronto.ca/legdocs/mmis/2016/te/bgrd/backgroundfile-97180.pdf" TargetMode="External"/><Relationship Id="rId58" Type="http://schemas.openxmlformats.org/officeDocument/2006/relationships/hyperlink" Target="https://www.toronto.ca/legdocs/mmis/2021/cc/bgrd/backgroundfile-169038.pdf" TargetMode="External"/><Relationship Id="rId5" Type="http://schemas.openxmlformats.org/officeDocument/2006/relationships/hyperlink" Target="https://www.urbanstrategies.com/project/under-concord/" TargetMode="External"/><Relationship Id="rId19" Type="http://schemas.openxmlformats.org/officeDocument/2006/relationships/hyperlink" Target="https://www.toronto.ca/legdocs/mmis/2024/ph/bgrd/backgroundfile-245473.pdf" TargetMode="External"/><Relationship Id="rId4" Type="http://schemas.openxmlformats.org/officeDocument/2006/relationships/hyperlink" Target="https://www.urbanstrategies.com/project/bathurst-bridgman-block/" TargetMode="External"/><Relationship Id="rId9" Type="http://schemas.openxmlformats.org/officeDocument/2006/relationships/hyperlink" Target="https://www.toronto.ca/legdocs/mmis/2018/te/bgrd/backgroundfile-117194.pdf" TargetMode="External"/><Relationship Id="rId14" Type="http://schemas.openxmlformats.org/officeDocument/2006/relationships/hyperlink" Target="https://www.toronto.ca/legdocs/mmis/2023/te/bgrd/backgroundfile-235376.pdf" TargetMode="External"/><Relationship Id="rId22" Type="http://schemas.openxmlformats.org/officeDocument/2006/relationships/hyperlink" Target="https://www.toronto.ca/legdocs/mmis/2024/cc/bgrd/backgroundfile-249927.pdf" TargetMode="External"/><Relationship Id="rId27" Type="http://schemas.openxmlformats.org/officeDocument/2006/relationships/hyperlink" Target="https://www.toronto.ca/legdocs/mmis/2020/te/bgrd/backgroundfile-148523.pdf" TargetMode="External"/><Relationship Id="rId30" Type="http://schemas.openxmlformats.org/officeDocument/2006/relationships/hyperlink" Target="https://www.toronto.ca/legdocs/mmis/2023/te/bgrd/backgroundfile-237340.pdf" TargetMode="External"/><Relationship Id="rId35" Type="http://schemas.openxmlformats.org/officeDocument/2006/relationships/hyperlink" Target="https://www.toronto.ca/legdocs/mmis/2023/ey/bgrd/backgroundfile-240542.pdf" TargetMode="External"/><Relationship Id="rId43" Type="http://schemas.openxmlformats.org/officeDocument/2006/relationships/hyperlink" Target="https://www.toronto.ca/legdocs/mmis/2016/te/bgrd/backgroundfile-98210.pdf" TargetMode="External"/><Relationship Id="rId48" Type="http://schemas.openxmlformats.org/officeDocument/2006/relationships/hyperlink" Target="https://www.toronto.ca/legdocs/mmis/2017/te/bgrd/backgroundfile-101268.pdf" TargetMode="External"/><Relationship Id="rId56" Type="http://schemas.openxmlformats.org/officeDocument/2006/relationships/hyperlink" Target="https://www.toronto.ca/legdocs/mmis/2023/cc/bgrd/backgroundfile-237057.pdf" TargetMode="External"/><Relationship Id="rId8" Type="http://schemas.openxmlformats.org/officeDocument/2006/relationships/hyperlink" Target="https://www.toronto.ca/legdocs/mmis/2022/cc/bgrd/backgroundfile-228806.pdf" TargetMode="External"/><Relationship Id="rId51" Type="http://schemas.openxmlformats.org/officeDocument/2006/relationships/hyperlink" Target="https://www.toronto.ca/legdocs/mmis/2025/te/bgrd/backgroundfile-253922.pdf" TargetMode="External"/><Relationship Id="rId3" Type="http://schemas.openxmlformats.org/officeDocument/2006/relationships/hyperlink" Target="https://www.toronto.ca/legdocs/mmis/2024/ny/bgrd/backgroundfile-249436.pdf" TargetMode="External"/><Relationship Id="rId12" Type="http://schemas.openxmlformats.org/officeDocument/2006/relationships/hyperlink" Target="https://www.toronto.ca/legdocs/mmis/2024/te/bgrd/backgroundfile-247148.pdf" TargetMode="External"/><Relationship Id="rId17" Type="http://schemas.openxmlformats.org/officeDocument/2006/relationships/hyperlink" Target="https://www.omb.gov.on.ca/e-decisions/pl171410-Nov-28-2019.pdf" TargetMode="External"/><Relationship Id="rId25" Type="http://schemas.openxmlformats.org/officeDocument/2006/relationships/hyperlink" Target="https://www.toronto.ca/legdocs/mmis/2020/te/bgrd/backgroundfile-148523.pdf" TargetMode="External"/><Relationship Id="rId33" Type="http://schemas.openxmlformats.org/officeDocument/2006/relationships/hyperlink" Target="https://www.toronto.ca/legdocs/mmis/2021/ph/bgrd/backgroundfile-165672.pdf" TargetMode="External"/><Relationship Id="rId38" Type="http://schemas.openxmlformats.org/officeDocument/2006/relationships/hyperlink" Target="https://www.toronto.ca/legdocs/mmis/2023/te/bgrd/backgroundfile-235313.pdf" TargetMode="External"/><Relationship Id="rId46" Type="http://schemas.openxmlformats.org/officeDocument/2006/relationships/hyperlink" Target="https://www.toronto.ca/legdocs/mmis/2020/te/bgrd/backgroundfile-141218.pdf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https://www.toronto.ca/legdocs/mmis/2020/ny/bgrd/backgroundfile-147617.pd" TargetMode="External"/><Relationship Id="rId41" Type="http://schemas.openxmlformats.org/officeDocument/2006/relationships/hyperlink" Target="https://www.toronto.ca/legdocs/mmis/2024/ny/bgrd/backgroundfile-248757.pdf" TargetMode="External"/><Relationship Id="rId54" Type="http://schemas.openxmlformats.org/officeDocument/2006/relationships/hyperlink" Target="https://www.toronto.ca/legdocs/mmis/2019/te/bgrd/backgroundfile-134349.pdf" TargetMode="External"/><Relationship Id="rId1" Type="http://schemas.openxmlformats.org/officeDocument/2006/relationships/hyperlink" Target="https://25stmary.com/" TargetMode="External"/><Relationship Id="rId6" Type="http://schemas.openxmlformats.org/officeDocument/2006/relationships/hyperlink" Target="https://www.toronto.ca/legdocs/mmis/2020/te/bgrd/backgroundfile-148523.pdf" TargetMode="External"/><Relationship Id="rId15" Type="http://schemas.openxmlformats.org/officeDocument/2006/relationships/hyperlink" Target="https://www.toronto.ca/legdocs/mmis/2021/te/bgrd/backgroundfile-170052.pdf" TargetMode="External"/><Relationship Id="rId23" Type="http://schemas.openxmlformats.org/officeDocument/2006/relationships/hyperlink" Target="https://www.omb.gov.on.ca/e-decisions/OLT-25-000035-AUG-11-2025.pdf" TargetMode="External"/><Relationship Id="rId28" Type="http://schemas.openxmlformats.org/officeDocument/2006/relationships/hyperlink" Target="https://www.omb.gov.on.ca/e-decisions/OLT-22-003924-OCT-30-2025.pdf" TargetMode="External"/><Relationship Id="rId36" Type="http://schemas.openxmlformats.org/officeDocument/2006/relationships/hyperlink" Target="https://www.toronto.ca/legdocs/mmis/2023/ey/bgrd/backgroundfile-240542.pdf" TargetMode="External"/><Relationship Id="rId49" Type="http://schemas.openxmlformats.org/officeDocument/2006/relationships/hyperlink" Target="https://secure.toronto.ca/council/agenda-item.do?item=2022.PH35.10" TargetMode="External"/><Relationship Id="rId57" Type="http://schemas.openxmlformats.org/officeDocument/2006/relationships/hyperlink" Target="https://www.toronto.ca/legdocs/mmis/2022/ey/bgrd/backgroundfile-226935.pdf" TargetMode="External"/><Relationship Id="rId10" Type="http://schemas.openxmlformats.org/officeDocument/2006/relationships/hyperlink" Target="https://www.toronto.ca/legdocs/mmis/2024/cc/bgrd/backgroundfile-245595.pdf" TargetMode="External"/><Relationship Id="rId31" Type="http://schemas.openxmlformats.org/officeDocument/2006/relationships/hyperlink" Target="https://www.toronto.ca/legdocs/mmis/2025/te/bgrd/backgroundfile-254256.pdf" TargetMode="External"/><Relationship Id="rId44" Type="http://schemas.openxmlformats.org/officeDocument/2006/relationships/hyperlink" Target="https://www.toronto.ca/legdocs/mmis/2025/ny/bgrd/backgroundfile-256438.pdf" TargetMode="External"/><Relationship Id="rId52" Type="http://schemas.openxmlformats.org/officeDocument/2006/relationships/hyperlink" Target="https://www.toronto.ca/city-government/planning-development/application-details/?id=4044115&amp;pid=425755&amp;title=844-DON-MILLS-RD.,-1150-AND-1155-EGLINTON-AVE-EAST--CLOSE-FOLDER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oronto.ca/legdocs/mmis/2020/ey/bgrd/backgroundfile-157600.pdf" TargetMode="External"/><Relationship Id="rId18" Type="http://schemas.openxmlformats.org/officeDocument/2006/relationships/hyperlink" Target="https://www.toronto.ca/legdocs/mmis/2024/ny/bgrd/backgroundfile-247199.pdf" TargetMode="External"/><Relationship Id="rId26" Type="http://schemas.openxmlformats.org/officeDocument/2006/relationships/hyperlink" Target="https://secure.toronto.ca/council/agenda-item.do?item=2025.PH18.11" TargetMode="External"/><Relationship Id="rId39" Type="http://schemas.openxmlformats.org/officeDocument/2006/relationships/hyperlink" Target="https://www.toronto.ca/legdocs/mmis/2025/te/bgrd/backgroundfile-251761.pdf" TargetMode="External"/><Relationship Id="rId21" Type="http://schemas.openxmlformats.org/officeDocument/2006/relationships/hyperlink" Target="https://secure.toronto.ca/council/agenda-item.do?item=2023.PH8.5" TargetMode="External"/><Relationship Id="rId34" Type="http://schemas.openxmlformats.org/officeDocument/2006/relationships/hyperlink" Target="https://www.toronto.ca/legdocs/mmis/2023/te/bgrd/backgroundfile-240091.pdf" TargetMode="External"/><Relationship Id="rId42" Type="http://schemas.openxmlformats.org/officeDocument/2006/relationships/hyperlink" Target="https://www.toronto.ca/legdocs/mmis/2024/te/bgrd/backgroundfile-244123.pdf" TargetMode="External"/><Relationship Id="rId47" Type="http://schemas.openxmlformats.org/officeDocument/2006/relationships/hyperlink" Target="https://secure.toronto.ca/council/agenda-item.do?item=2021.EY23.26" TargetMode="External"/><Relationship Id="rId50" Type="http://schemas.openxmlformats.org/officeDocument/2006/relationships/hyperlink" Target="https://www.toronto.ca/legdocs/mmis/2017/te/bgrd/backgroundfile-102235.pdf" TargetMode="External"/><Relationship Id="rId55" Type="http://schemas.openxmlformats.org/officeDocument/2006/relationships/hyperlink" Target="https://www.toronto.ca/legdocs/mmis/2024/cc/bgrd/backgroundfile-251449.pdf" TargetMode="External"/><Relationship Id="rId7" Type="http://schemas.openxmlformats.org/officeDocument/2006/relationships/hyperlink" Target="https://www.omb.gov.on.ca/e-decisions/OLT-22-004605-NOV-20-2024-ORD.pdf" TargetMode="External"/><Relationship Id="rId2" Type="http://schemas.openxmlformats.org/officeDocument/2006/relationships/hyperlink" Target="https://www.toronto.ca/legdocs/mmis/2024/ey/bgrd/backgroundfile-244836.pdf" TargetMode="External"/><Relationship Id="rId16" Type="http://schemas.openxmlformats.org/officeDocument/2006/relationships/hyperlink" Target="https://www.toronto.ca/legdocs/mmis/2025/te/bgrd/backgroundfile-256504.pdf" TargetMode="External"/><Relationship Id="rId29" Type="http://schemas.openxmlformats.org/officeDocument/2006/relationships/hyperlink" Target="https://www.toronto.ca/legdocs/mmis/2025/te/bgrd/backgroundfile-252997.pdf" TargetMode="External"/><Relationship Id="rId11" Type="http://schemas.openxmlformats.org/officeDocument/2006/relationships/hyperlink" Target="https://www.cadillacfairview.com/development/east-harbour/" TargetMode="External"/><Relationship Id="rId24" Type="http://schemas.openxmlformats.org/officeDocument/2006/relationships/hyperlink" Target="https://www.toronto.ca/legdocs/mmis/2024/te/bgrd/backgroundfile-247148.pdf" TargetMode="External"/><Relationship Id="rId32" Type="http://schemas.openxmlformats.org/officeDocument/2006/relationships/hyperlink" Target="https://www.toronto.ca/legdocs/mmis/2025/te/bgrd/backgroundfile-254256.pdf" TargetMode="External"/><Relationship Id="rId37" Type="http://schemas.openxmlformats.org/officeDocument/2006/relationships/hyperlink" Target="https://www.toronto.ca/legdocs/mmis/2023/ey/bgrd/backgroundfile-240542.pdf" TargetMode="External"/><Relationship Id="rId40" Type="http://schemas.openxmlformats.org/officeDocument/2006/relationships/hyperlink" Target="https://www.toronto.ca/legdocs/mmis/2024/cc/bgrd/backgroundfile-248186.pdf" TargetMode="External"/><Relationship Id="rId45" Type="http://schemas.openxmlformats.org/officeDocument/2006/relationships/hyperlink" Target="https://secure.toronto.ca/council/agenda-item.do?item=2019.MM12.17" TargetMode="External"/><Relationship Id="rId53" Type="http://schemas.openxmlformats.org/officeDocument/2006/relationships/hyperlink" Target="https://www.toronto.ca/legdocs/mmis/2016/te/bgrd/backgroundfile-97180.pdf" TargetMode="External"/><Relationship Id="rId58" Type="http://schemas.openxmlformats.org/officeDocument/2006/relationships/hyperlink" Target="https://www.toronto.ca/legdocs/mmis/2021/cc/bgrd/backgroundfile-169038.pdf" TargetMode="External"/><Relationship Id="rId5" Type="http://schemas.openxmlformats.org/officeDocument/2006/relationships/hyperlink" Target="https://www.urbanstrategies.com/project/under-concord/" TargetMode="External"/><Relationship Id="rId19" Type="http://schemas.openxmlformats.org/officeDocument/2006/relationships/hyperlink" Target="https://www.toronto.ca/legdocs/mmis/2024/ph/bgrd/backgroundfile-245473.pdf" TargetMode="External"/><Relationship Id="rId4" Type="http://schemas.openxmlformats.org/officeDocument/2006/relationships/hyperlink" Target="https://www.urbanstrategies.com/project/bathurst-bridgman-block/" TargetMode="External"/><Relationship Id="rId9" Type="http://schemas.openxmlformats.org/officeDocument/2006/relationships/hyperlink" Target="https://www.toronto.ca/legdocs/mmis/2018/te/bgrd/backgroundfile-117194.pdf" TargetMode="External"/><Relationship Id="rId14" Type="http://schemas.openxmlformats.org/officeDocument/2006/relationships/hyperlink" Target="https://www.toronto.ca/legdocs/mmis/2023/te/bgrd/backgroundfile-235376.pdf" TargetMode="External"/><Relationship Id="rId22" Type="http://schemas.openxmlformats.org/officeDocument/2006/relationships/hyperlink" Target="https://www.toronto.ca/legdocs/mmis/2024/cc/bgrd/backgroundfile-249927.pdf" TargetMode="External"/><Relationship Id="rId27" Type="http://schemas.openxmlformats.org/officeDocument/2006/relationships/hyperlink" Target="https://www.toronto.ca/legdocs/mmis/2020/te/bgrd/backgroundfile-148523.pdf" TargetMode="External"/><Relationship Id="rId30" Type="http://schemas.openxmlformats.org/officeDocument/2006/relationships/hyperlink" Target="https://www.toronto.ca/legdocs/mmis/2023/te/bgrd/backgroundfile-237340.pdf" TargetMode="External"/><Relationship Id="rId35" Type="http://schemas.openxmlformats.org/officeDocument/2006/relationships/hyperlink" Target="https://www.toronto.ca/legdocs/mmis/2023/ey/bgrd/backgroundfile-240542.pdf" TargetMode="External"/><Relationship Id="rId43" Type="http://schemas.openxmlformats.org/officeDocument/2006/relationships/hyperlink" Target="https://www.toronto.ca/legdocs/mmis/2016/te/bgrd/backgroundfile-98210.pdf" TargetMode="External"/><Relationship Id="rId48" Type="http://schemas.openxmlformats.org/officeDocument/2006/relationships/hyperlink" Target="https://www.toronto.ca/legdocs/mmis/2017/te/bgrd/backgroundfile-101268.pdf" TargetMode="External"/><Relationship Id="rId56" Type="http://schemas.openxmlformats.org/officeDocument/2006/relationships/hyperlink" Target="https://www.toronto.ca/legdocs/mmis/2023/cc/bgrd/backgroundfile-237057.pdf" TargetMode="External"/><Relationship Id="rId8" Type="http://schemas.openxmlformats.org/officeDocument/2006/relationships/hyperlink" Target="https://www.toronto.ca/legdocs/mmis/2022/cc/bgrd/backgroundfile-228806.pdf" TargetMode="External"/><Relationship Id="rId51" Type="http://schemas.openxmlformats.org/officeDocument/2006/relationships/hyperlink" Target="https://www.toronto.ca/legdocs/mmis/2025/te/bgrd/backgroundfile-253922.pdf" TargetMode="External"/><Relationship Id="rId3" Type="http://schemas.openxmlformats.org/officeDocument/2006/relationships/hyperlink" Target="https://www.toronto.ca/legdocs/mmis/2024/ny/bgrd/backgroundfile-249436.pdf" TargetMode="External"/><Relationship Id="rId12" Type="http://schemas.openxmlformats.org/officeDocument/2006/relationships/hyperlink" Target="https://www.toronto.ca/legdocs/mmis/2024/te/bgrd/backgroundfile-247148.pdf" TargetMode="External"/><Relationship Id="rId17" Type="http://schemas.openxmlformats.org/officeDocument/2006/relationships/hyperlink" Target="https://www.omb.gov.on.ca/e-decisions/pl171410-Nov-28-2019.pdf" TargetMode="External"/><Relationship Id="rId25" Type="http://schemas.openxmlformats.org/officeDocument/2006/relationships/hyperlink" Target="https://www.toronto.ca/legdocs/mmis/2020/te/bgrd/backgroundfile-148523.pdf" TargetMode="External"/><Relationship Id="rId33" Type="http://schemas.openxmlformats.org/officeDocument/2006/relationships/hyperlink" Target="https://www.toronto.ca/legdocs/mmis/2021/ph/bgrd/backgroundfile-165672.pdf" TargetMode="External"/><Relationship Id="rId38" Type="http://schemas.openxmlformats.org/officeDocument/2006/relationships/hyperlink" Target="https://www.toronto.ca/legdocs/mmis/2023/te/bgrd/backgroundfile-235313.pdf" TargetMode="External"/><Relationship Id="rId46" Type="http://schemas.openxmlformats.org/officeDocument/2006/relationships/hyperlink" Target="https://www.toronto.ca/legdocs/mmis/2020/te/bgrd/backgroundfile-141218.pdf" TargetMode="External"/><Relationship Id="rId59" Type="http://schemas.openxmlformats.org/officeDocument/2006/relationships/table" Target="../tables/table2.xml"/><Relationship Id="rId20" Type="http://schemas.openxmlformats.org/officeDocument/2006/relationships/hyperlink" Target="https://www.toronto.ca/legdocs/mmis/2020/ny/bgrd/backgroundfile-147617.pd" TargetMode="External"/><Relationship Id="rId41" Type="http://schemas.openxmlformats.org/officeDocument/2006/relationships/hyperlink" Target="https://www.toronto.ca/legdocs/mmis/2024/ny/bgrd/backgroundfile-248757.pdf" TargetMode="External"/><Relationship Id="rId54" Type="http://schemas.openxmlformats.org/officeDocument/2006/relationships/hyperlink" Target="https://www.toronto.ca/legdocs/mmis/2019/te/bgrd/backgroundfile-134349.pdf" TargetMode="External"/><Relationship Id="rId1" Type="http://schemas.openxmlformats.org/officeDocument/2006/relationships/hyperlink" Target="https://25stmary.com/" TargetMode="External"/><Relationship Id="rId6" Type="http://schemas.openxmlformats.org/officeDocument/2006/relationships/hyperlink" Target="https://www.toronto.ca/legdocs/mmis/2020/te/bgrd/backgroundfile-148523.pdf" TargetMode="External"/><Relationship Id="rId15" Type="http://schemas.openxmlformats.org/officeDocument/2006/relationships/hyperlink" Target="https://www.toronto.ca/legdocs/mmis/2021/te/bgrd/backgroundfile-170052.pdf" TargetMode="External"/><Relationship Id="rId23" Type="http://schemas.openxmlformats.org/officeDocument/2006/relationships/hyperlink" Target="https://www.omb.gov.on.ca/e-decisions/OLT-25-000035-AUG-11-2025.pdf" TargetMode="External"/><Relationship Id="rId28" Type="http://schemas.openxmlformats.org/officeDocument/2006/relationships/hyperlink" Target="https://www.omb.gov.on.ca/e-decisions/OLT-22-003924-OCT-30-2025.pdf" TargetMode="External"/><Relationship Id="rId36" Type="http://schemas.openxmlformats.org/officeDocument/2006/relationships/hyperlink" Target="https://www.toronto.ca/legdocs/mmis/2023/ey/bgrd/backgroundfile-240542.pdf" TargetMode="External"/><Relationship Id="rId49" Type="http://schemas.openxmlformats.org/officeDocument/2006/relationships/hyperlink" Target="https://secure.toronto.ca/council/agenda-item.do?item=2022.PH35.10" TargetMode="External"/><Relationship Id="rId57" Type="http://schemas.openxmlformats.org/officeDocument/2006/relationships/hyperlink" Target="https://www.toronto.ca/legdocs/mmis/2022/ey/bgrd/backgroundfile-226935.pdf" TargetMode="External"/><Relationship Id="rId10" Type="http://schemas.openxmlformats.org/officeDocument/2006/relationships/hyperlink" Target="https://www.toronto.ca/legdocs/mmis/2024/cc/bgrd/backgroundfile-245595.pdf" TargetMode="External"/><Relationship Id="rId31" Type="http://schemas.openxmlformats.org/officeDocument/2006/relationships/hyperlink" Target="https://www.toronto.ca/legdocs/mmis/2025/te/bgrd/backgroundfile-254256.pdf" TargetMode="External"/><Relationship Id="rId44" Type="http://schemas.openxmlformats.org/officeDocument/2006/relationships/hyperlink" Target="https://www.toronto.ca/legdocs/mmis/2025/ny/bgrd/backgroundfile-256438.pdf" TargetMode="External"/><Relationship Id="rId52" Type="http://schemas.openxmlformats.org/officeDocument/2006/relationships/hyperlink" Target="https://www.toronto.ca/city-government/planning-development/application-details/?id=4044115&amp;pid=425755&amp;title=844-DON-MILLS-RD.,-1150-AND-1155-EGLINTON-AVE-EAST--CLOSE-FOL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5DC6-0D57-485B-A760-81D609E2ABFE}">
  <dimension ref="A2:AH70"/>
  <sheetViews>
    <sheetView workbookViewId="0">
      <pane xSplit="3" topLeftCell="AE1" activePane="topRight" state="frozen"/>
      <selection pane="topRight" activeCell="A5" sqref="A5:XFD66"/>
    </sheetView>
  </sheetViews>
  <sheetFormatPr defaultRowHeight="15" x14ac:dyDescent="0.25"/>
  <cols>
    <col min="1" max="1" width="11.5703125" customWidth="1"/>
    <col min="2" max="2" width="14" customWidth="1"/>
    <col min="3" max="3" width="29.7109375" customWidth="1"/>
    <col min="4" max="4" width="53.42578125" customWidth="1"/>
    <col min="5" max="5" width="34.7109375" customWidth="1"/>
    <col min="6" max="6" width="22.7109375" customWidth="1"/>
    <col min="7" max="8" width="24.28515625" customWidth="1"/>
    <col min="9" max="9" width="30.5703125" customWidth="1"/>
    <col min="10" max="10" width="21" bestFit="1" customWidth="1"/>
    <col min="11" max="11" width="21" customWidth="1"/>
    <col min="12" max="12" width="21.42578125" customWidth="1"/>
    <col min="13" max="13" width="16.85546875" bestFit="1" customWidth="1"/>
    <col min="14" max="14" width="73.7109375" customWidth="1"/>
    <col min="15" max="15" width="17.85546875" bestFit="1" customWidth="1"/>
    <col min="16" max="16" width="17.85546875" customWidth="1"/>
    <col min="17" max="18" width="27.85546875" customWidth="1"/>
    <col min="19" max="19" width="25.7109375" bestFit="1" customWidth="1"/>
    <col min="20" max="20" width="46.5703125" bestFit="1" customWidth="1"/>
    <col min="21" max="21" width="19.85546875" customWidth="1"/>
    <col min="22" max="24" width="17.85546875" customWidth="1"/>
    <col min="25" max="26" width="27.85546875" customWidth="1"/>
    <col min="27" max="27" width="16.140625" bestFit="1" customWidth="1"/>
    <col min="28" max="28" width="30.28515625" bestFit="1" customWidth="1"/>
    <col min="29" max="29" width="26.42578125" bestFit="1" customWidth="1"/>
    <col min="30" max="30" width="16" bestFit="1" customWidth="1"/>
    <col min="31" max="31" width="76.42578125" customWidth="1"/>
    <col min="32" max="32" width="40.28515625" customWidth="1"/>
    <col min="33" max="33" width="56.7109375" customWidth="1"/>
  </cols>
  <sheetData>
    <row r="2" spans="1:34" x14ac:dyDescent="0.25">
      <c r="A2" t="s">
        <v>0</v>
      </c>
    </row>
    <row r="4" spans="1:34" x14ac:dyDescent="0.25">
      <c r="A4" t="s">
        <v>1</v>
      </c>
      <c r="L4" t="s">
        <v>2</v>
      </c>
      <c r="N4" t="s">
        <v>3</v>
      </c>
      <c r="S4" t="s">
        <v>4</v>
      </c>
      <c r="AA4" t="s">
        <v>5</v>
      </c>
    </row>
    <row r="5" spans="1:34" x14ac:dyDescent="0.25">
      <c r="A5" s="1" t="s">
        <v>6</v>
      </c>
      <c r="B5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2" t="s">
        <v>18</v>
      </c>
      <c r="N5" s="2" t="s">
        <v>19</v>
      </c>
      <c r="O5" s="3" t="s">
        <v>20</v>
      </c>
      <c r="P5" s="3" t="s">
        <v>21</v>
      </c>
      <c r="Q5" s="3" t="s">
        <v>22</v>
      </c>
      <c r="R5" s="4" t="s">
        <v>23</v>
      </c>
      <c r="S5" s="4" t="s">
        <v>24</v>
      </c>
      <c r="T5" s="4" t="s">
        <v>25</v>
      </c>
      <c r="U5" s="4" t="s">
        <v>26</v>
      </c>
      <c r="V5" s="4" t="s">
        <v>27</v>
      </c>
      <c r="W5" s="22" t="s">
        <v>28</v>
      </c>
      <c r="X5" s="22" t="s">
        <v>29</v>
      </c>
      <c r="Y5" s="22" t="s">
        <v>30</v>
      </c>
      <c r="Z5" s="22" t="s">
        <v>31</v>
      </c>
      <c r="AA5" s="22" t="s">
        <v>32</v>
      </c>
      <c r="AB5" s="5" t="s">
        <v>33</v>
      </c>
      <c r="AC5" s="5" t="s">
        <v>34</v>
      </c>
      <c r="AD5" s="5" t="s">
        <v>35</v>
      </c>
      <c r="AE5" s="5" t="s">
        <v>36</v>
      </c>
      <c r="AF5" s="21" t="s">
        <v>37</v>
      </c>
      <c r="AG5" s="5" t="s">
        <v>38</v>
      </c>
      <c r="AH5" s="5" t="s">
        <v>39</v>
      </c>
    </row>
    <row r="6" spans="1:34" x14ac:dyDescent="0.25">
      <c r="A6" s="37">
        <v>19052</v>
      </c>
      <c r="B6" s="13" t="b">
        <v>1</v>
      </c>
      <c r="C6" s="6" t="s">
        <v>40</v>
      </c>
      <c r="D6" t="s">
        <v>41</v>
      </c>
      <c r="E6" t="s">
        <v>42</v>
      </c>
      <c r="F6" t="s">
        <v>43</v>
      </c>
      <c r="G6" s="28" t="s">
        <v>44</v>
      </c>
      <c r="H6" s="28" t="str">
        <f>MID(Table1[[#This Row],[Centroid Coordinates]], 14+1, LEN(Table1[[#This Row],[Centroid Coordinates]]) - (14+1))</f>
        <v>43.6527298</v>
      </c>
      <c r="I6" s="28" t="str">
        <f>MID(Table1[[#This Row],[Centroid Coordinates]], 1+1, LEN(Table1[[#This Row],[Centroid Coordinates]]) - (1+13))</f>
        <v>-79.3712680</v>
      </c>
      <c r="J6" t="s">
        <v>45</v>
      </c>
      <c r="K6" s="19"/>
      <c r="L6" t="s">
        <v>46</v>
      </c>
      <c r="M6" t="s">
        <v>47</v>
      </c>
      <c r="N6">
        <v>13</v>
      </c>
      <c r="O6" s="19"/>
      <c r="P6" s="19"/>
      <c r="Q6" s="19"/>
      <c r="R6" s="19" t="s">
        <v>48</v>
      </c>
      <c r="S6" s="19">
        <v>2022</v>
      </c>
      <c r="T6">
        <v>2022</v>
      </c>
      <c r="U6" t="s">
        <v>49</v>
      </c>
      <c r="V6" t="s">
        <v>50</v>
      </c>
      <c r="W6">
        <v>516</v>
      </c>
      <c r="X6">
        <v>1.36</v>
      </c>
      <c r="Y6">
        <v>7</v>
      </c>
      <c r="Z6">
        <v>5500</v>
      </c>
      <c r="AA6">
        <v>2000</v>
      </c>
      <c r="AB6">
        <v>10.6</v>
      </c>
      <c r="AC6">
        <v>136</v>
      </c>
      <c r="AD6">
        <v>39</v>
      </c>
      <c r="AE6">
        <v>3697</v>
      </c>
      <c r="AF6" t="s">
        <v>51</v>
      </c>
      <c r="AG6" s="10" t="s">
        <v>52</v>
      </c>
    </row>
    <row r="7" spans="1:34" x14ac:dyDescent="0.25">
      <c r="A7" s="38">
        <v>21009</v>
      </c>
      <c r="B7" s="13" t="b">
        <v>1</v>
      </c>
      <c r="C7" s="6" t="s">
        <v>53</v>
      </c>
      <c r="D7" t="s">
        <v>54</v>
      </c>
      <c r="E7" t="s">
        <v>42</v>
      </c>
      <c r="F7" t="s">
        <v>55</v>
      </c>
      <c r="G7" s="28" t="s">
        <v>56</v>
      </c>
      <c r="H7" s="28" t="str">
        <f>MID(Table1[[#This Row],[Centroid Coordinates]], 14+1, LEN(Table1[[#This Row],[Centroid Coordinates]]) - (14+1))</f>
        <v>43.6464978</v>
      </c>
      <c r="I7" s="28" t="str">
        <f>MID(Table1[[#This Row],[Centroid Coordinates]], 1+1, LEN(Table1[[#This Row],[Centroid Coordinates]]) - (1+13))</f>
        <v>-79.3950061</v>
      </c>
      <c r="J7" t="s">
        <v>57</v>
      </c>
      <c r="K7" s="19"/>
      <c r="L7" t="s">
        <v>58</v>
      </c>
      <c r="M7" t="s">
        <v>47</v>
      </c>
      <c r="N7">
        <v>10</v>
      </c>
      <c r="O7" t="s">
        <v>59</v>
      </c>
      <c r="P7" t="s">
        <v>60</v>
      </c>
      <c r="Q7" t="s">
        <v>61</v>
      </c>
      <c r="R7">
        <v>2021</v>
      </c>
      <c r="S7">
        <v>2025</v>
      </c>
      <c r="T7">
        <v>2025</v>
      </c>
      <c r="U7" t="s">
        <v>62</v>
      </c>
      <c r="V7" t="s">
        <v>50</v>
      </c>
      <c r="W7">
        <v>452</v>
      </c>
      <c r="X7">
        <v>0</v>
      </c>
      <c r="Y7">
        <v>0</v>
      </c>
      <c r="Z7" t="s">
        <v>63</v>
      </c>
      <c r="AA7">
        <v>120</v>
      </c>
      <c r="AB7">
        <v>16.100000000000001</v>
      </c>
      <c r="AC7">
        <v>167</v>
      </c>
      <c r="AD7">
        <v>50</v>
      </c>
      <c r="AE7">
        <v>2178</v>
      </c>
      <c r="AF7" t="s">
        <v>64</v>
      </c>
      <c r="AG7" s="10" t="s">
        <v>65</v>
      </c>
    </row>
    <row r="8" spans="1:34" x14ac:dyDescent="0.25">
      <c r="A8" s="37">
        <v>16099</v>
      </c>
      <c r="B8" s="13" t="b">
        <v>1</v>
      </c>
      <c r="C8" s="6" t="s">
        <v>66</v>
      </c>
      <c r="D8" t="s">
        <v>67</v>
      </c>
      <c r="E8" t="s">
        <v>42</v>
      </c>
      <c r="F8" t="s">
        <v>55</v>
      </c>
      <c r="G8" s="28" t="s">
        <v>68</v>
      </c>
      <c r="H8" s="28" t="str">
        <f>MID(Table1[[#This Row],[Centroid Coordinates]], 14+1, LEN(Table1[[#This Row],[Centroid Coordinates]]) - (14+1))</f>
        <v>43.6802900</v>
      </c>
      <c r="I8" s="28" t="str">
        <f>MID(Table1[[#This Row],[Centroid Coordinates]], 1+1, LEN(Table1[[#This Row],[Centroid Coordinates]]) - (1+13))</f>
        <v>-79.3902855</v>
      </c>
      <c r="J8" t="s">
        <v>69</v>
      </c>
      <c r="K8" t="s">
        <v>70</v>
      </c>
      <c r="L8" t="s">
        <v>71</v>
      </c>
      <c r="M8" t="s">
        <v>47</v>
      </c>
      <c r="N8">
        <v>11</v>
      </c>
      <c r="O8" t="s">
        <v>72</v>
      </c>
      <c r="P8" t="s">
        <v>60</v>
      </c>
      <c r="Q8" t="s">
        <v>73</v>
      </c>
      <c r="R8">
        <v>2016</v>
      </c>
      <c r="S8">
        <v>2021</v>
      </c>
      <c r="T8">
        <v>2021</v>
      </c>
      <c r="U8" t="s">
        <v>74</v>
      </c>
      <c r="V8" t="s">
        <v>50</v>
      </c>
      <c r="W8">
        <v>127</v>
      </c>
      <c r="X8">
        <v>0</v>
      </c>
      <c r="Y8">
        <v>0</v>
      </c>
      <c r="Z8">
        <v>3300</v>
      </c>
      <c r="AA8" t="s">
        <v>63</v>
      </c>
      <c r="AB8" s="19"/>
      <c r="AC8">
        <v>85.4</v>
      </c>
      <c r="AD8">
        <v>21</v>
      </c>
      <c r="AE8">
        <v>4450</v>
      </c>
      <c r="AF8" t="s">
        <v>75</v>
      </c>
      <c r="AG8" s="10" t="s">
        <v>76</v>
      </c>
      <c r="AH8" t="s">
        <v>77</v>
      </c>
    </row>
    <row r="9" spans="1:34" x14ac:dyDescent="0.25">
      <c r="A9" s="39">
        <v>20043</v>
      </c>
      <c r="B9" s="14" t="b">
        <v>1</v>
      </c>
      <c r="C9" s="20" t="s">
        <v>78</v>
      </c>
      <c r="D9" t="s">
        <v>79</v>
      </c>
      <c r="E9" t="s">
        <v>42</v>
      </c>
      <c r="F9" t="s">
        <v>43</v>
      </c>
      <c r="G9" s="28" t="s">
        <v>80</v>
      </c>
      <c r="H9" s="28" t="str">
        <f>MID(Table1[[#This Row],[Centroid Coordinates]], 14+1, LEN(Table1[[#This Row],[Centroid Coordinates]]) - (14+1))</f>
        <v>43.6673132</v>
      </c>
      <c r="I9" s="28" t="str">
        <f>MID(Table1[[#This Row],[Centroid Coordinates]], 1+1, LEN(Table1[[#This Row],[Centroid Coordinates]]) - (1+13))</f>
        <v>-79.3871454</v>
      </c>
      <c r="J9" t="s">
        <v>81</v>
      </c>
      <c r="K9" s="19"/>
      <c r="L9" t="s">
        <v>58</v>
      </c>
      <c r="M9" t="s">
        <v>47</v>
      </c>
      <c r="N9">
        <v>13</v>
      </c>
      <c r="O9" s="19"/>
      <c r="P9" s="19"/>
      <c r="Q9" s="19"/>
      <c r="R9" t="s">
        <v>48</v>
      </c>
      <c r="S9">
        <v>2023</v>
      </c>
      <c r="T9">
        <v>2023</v>
      </c>
      <c r="U9" t="s">
        <v>82</v>
      </c>
      <c r="V9" t="s">
        <v>50</v>
      </c>
      <c r="W9">
        <v>1024</v>
      </c>
      <c r="X9">
        <v>4.88</v>
      </c>
      <c r="Y9">
        <v>50</v>
      </c>
      <c r="Z9" t="s">
        <v>63</v>
      </c>
      <c r="AA9">
        <v>1010</v>
      </c>
      <c r="AB9">
        <v>15.42</v>
      </c>
      <c r="AC9" t="s">
        <v>83</v>
      </c>
      <c r="AD9" t="s">
        <v>84</v>
      </c>
      <c r="AE9">
        <v>5212</v>
      </c>
      <c r="AF9" t="s">
        <v>85</v>
      </c>
      <c r="AG9" s="10" t="s">
        <v>86</v>
      </c>
      <c r="AH9" t="s">
        <v>87</v>
      </c>
    </row>
    <row r="10" spans="1:34" x14ac:dyDescent="0.25">
      <c r="A10" s="40">
        <v>20061</v>
      </c>
      <c r="B10" s="14" t="b">
        <v>1</v>
      </c>
      <c r="C10" s="20" t="s">
        <v>88</v>
      </c>
      <c r="D10" t="s">
        <v>79</v>
      </c>
      <c r="E10" t="s">
        <v>42</v>
      </c>
      <c r="F10" t="s">
        <v>55</v>
      </c>
      <c r="G10" s="28" t="s">
        <v>89</v>
      </c>
      <c r="H10" s="28" t="str">
        <f>MID(Table1[[#This Row],[Centroid Coordinates]], 14+1, LEN(Table1[[#This Row],[Centroid Coordinates]]) - (14+1))</f>
        <v>43.7821101</v>
      </c>
      <c r="I10" s="28" t="str">
        <f>MID(Table1[[#This Row],[Centroid Coordinates]], 1+1, LEN(Table1[[#This Row],[Centroid Coordinates]]) - (1+13))</f>
        <v>-79.4458818</v>
      </c>
      <c r="J10" t="s">
        <v>90</v>
      </c>
      <c r="K10" s="19"/>
      <c r="L10" t="s">
        <v>58</v>
      </c>
      <c r="M10" t="s">
        <v>47</v>
      </c>
      <c r="N10">
        <v>6</v>
      </c>
      <c r="O10" t="s">
        <v>91</v>
      </c>
      <c r="P10" s="19"/>
      <c r="Q10" s="19"/>
      <c r="R10" t="s">
        <v>48</v>
      </c>
      <c r="S10">
        <v>2024</v>
      </c>
      <c r="T10">
        <v>2024</v>
      </c>
      <c r="U10" t="s">
        <v>62</v>
      </c>
      <c r="V10" t="s">
        <v>50</v>
      </c>
      <c r="W10">
        <v>1151</v>
      </c>
      <c r="X10">
        <v>0</v>
      </c>
      <c r="Y10">
        <v>0</v>
      </c>
      <c r="Z10">
        <v>900</v>
      </c>
      <c r="AA10" t="s">
        <v>63</v>
      </c>
      <c r="AB10">
        <v>4.46</v>
      </c>
      <c r="AC10" t="s">
        <v>92</v>
      </c>
      <c r="AD10" t="s">
        <v>93</v>
      </c>
      <c r="AE10">
        <v>19014</v>
      </c>
      <c r="AF10" t="s">
        <v>94</v>
      </c>
      <c r="AG10" s="10" t="s">
        <v>95</v>
      </c>
      <c r="AH10" t="s">
        <v>96</v>
      </c>
    </row>
    <row r="11" spans="1:34" x14ac:dyDescent="0.25">
      <c r="A11" s="40">
        <v>18000</v>
      </c>
      <c r="B11" s="14" t="b">
        <v>1</v>
      </c>
      <c r="C11" s="23" t="s">
        <v>97</v>
      </c>
      <c r="D11" t="s">
        <v>98</v>
      </c>
      <c r="E11" t="s">
        <v>99</v>
      </c>
      <c r="F11" t="s">
        <v>55</v>
      </c>
      <c r="G11" s="28" t="s">
        <v>100</v>
      </c>
      <c r="H11" s="28" t="str">
        <f>MID(Table1[[#This Row],[Centroid Coordinates]], 14+1, LEN(Table1[[#This Row],[Centroid Coordinates]]) - (14+1))</f>
        <v>43.7464712</v>
      </c>
      <c r="I11" s="28" t="str">
        <f>MID(Table1[[#This Row],[Centroid Coordinates]], 1+1, LEN(Table1[[#This Row],[Centroid Coordinates]]) - (1+13))</f>
        <v>-79.4723534</v>
      </c>
      <c r="J11" t="s">
        <v>101</v>
      </c>
      <c r="K11" t="s">
        <v>102</v>
      </c>
      <c r="L11" t="s">
        <v>71</v>
      </c>
      <c r="M11" t="s">
        <v>47</v>
      </c>
      <c r="N11">
        <v>6</v>
      </c>
      <c r="O11" t="s">
        <v>103</v>
      </c>
      <c r="P11" s="19"/>
      <c r="Q11" s="19"/>
      <c r="R11" s="19">
        <v>2018</v>
      </c>
      <c r="S11" s="9" t="s">
        <v>104</v>
      </c>
      <c r="T11">
        <v>2024</v>
      </c>
      <c r="U11" t="s">
        <v>49</v>
      </c>
      <c r="V11" t="s">
        <v>50</v>
      </c>
      <c r="W11" s="19"/>
      <c r="X11" s="19"/>
      <c r="Y11" s="19"/>
      <c r="Z11" s="19"/>
      <c r="AA11" s="19"/>
      <c r="AB11" s="19"/>
      <c r="AC11" s="19"/>
      <c r="AD11" s="19"/>
      <c r="AE11" s="19"/>
      <c r="AF11" t="s">
        <v>105</v>
      </c>
      <c r="AG11" s="10" t="s">
        <v>106</v>
      </c>
      <c r="AH11" t="s">
        <v>107</v>
      </c>
    </row>
    <row r="12" spans="1:34" x14ac:dyDescent="0.25">
      <c r="A12" s="45" t="s">
        <v>108</v>
      </c>
      <c r="B12" s="15" t="b">
        <v>1</v>
      </c>
      <c r="C12" s="24" t="s">
        <v>109</v>
      </c>
      <c r="D12" t="s">
        <v>110</v>
      </c>
      <c r="E12" t="s">
        <v>42</v>
      </c>
      <c r="F12" t="s">
        <v>55</v>
      </c>
      <c r="G12" s="28" t="s">
        <v>111</v>
      </c>
      <c r="H12" s="28" t="str">
        <f>MID(Table1[[#This Row],[Centroid Coordinates]], 14+1, LEN(Table1[[#This Row],[Centroid Coordinates]]) - (14+1))</f>
        <v>43.7517928</v>
      </c>
      <c r="I12" s="28" t="str">
        <f>MID(Table1[[#This Row],[Centroid Coordinates]], 1+1, LEN(Table1[[#This Row],[Centroid Coordinates]]) - (1+13))</f>
        <v>-79.4664465</v>
      </c>
      <c r="J12" t="s">
        <v>112</v>
      </c>
      <c r="K12" t="s">
        <v>113</v>
      </c>
      <c r="L12" t="s">
        <v>71</v>
      </c>
      <c r="M12" t="s">
        <v>47</v>
      </c>
      <c r="N12">
        <v>6</v>
      </c>
      <c r="O12" t="s">
        <v>114</v>
      </c>
      <c r="P12" s="19"/>
      <c r="Q12" s="19"/>
      <c r="R12" t="s">
        <v>48</v>
      </c>
      <c r="S12">
        <v>2020</v>
      </c>
      <c r="T12">
        <v>2020</v>
      </c>
      <c r="U12" t="s">
        <v>49</v>
      </c>
      <c r="V12" t="s">
        <v>50</v>
      </c>
      <c r="W12">
        <v>392</v>
      </c>
      <c r="X12">
        <v>0</v>
      </c>
      <c r="Y12">
        <v>0</v>
      </c>
      <c r="Z12">
        <v>0</v>
      </c>
      <c r="AA12">
        <v>0</v>
      </c>
      <c r="AB12">
        <v>3.4</v>
      </c>
      <c r="AC12">
        <v>45.7</v>
      </c>
      <c r="AD12">
        <v>14</v>
      </c>
      <c r="AE12">
        <v>4058</v>
      </c>
      <c r="AF12" t="s">
        <v>115</v>
      </c>
      <c r="AG12" s="10" t="s">
        <v>116</v>
      </c>
    </row>
    <row r="13" spans="1:34" x14ac:dyDescent="0.25">
      <c r="A13" s="40">
        <v>17089</v>
      </c>
      <c r="B13" s="16" t="b">
        <v>1</v>
      </c>
      <c r="C13" s="25" t="s">
        <v>117</v>
      </c>
      <c r="D13" t="s">
        <v>118</v>
      </c>
      <c r="E13" t="s">
        <v>42</v>
      </c>
      <c r="F13" t="s">
        <v>43</v>
      </c>
      <c r="G13" s="28" t="s">
        <v>119</v>
      </c>
      <c r="H13" s="28" t="str">
        <f>MID(Table1[[#This Row],[Centroid Coordinates]], 14+1, LEN(Table1[[#This Row],[Centroid Coordinates]]) - (14+1))</f>
        <v>43.6548650</v>
      </c>
      <c r="I13" s="28" t="str">
        <f>MID(Table1[[#This Row],[Centroid Coordinates]], 1+1, LEN(Table1[[#This Row],[Centroid Coordinates]]) - (1+13))</f>
        <v>-79.3896418</v>
      </c>
      <c r="J13" t="s">
        <v>120</v>
      </c>
      <c r="K13" s="19"/>
      <c r="L13" t="s">
        <v>71</v>
      </c>
      <c r="M13" t="s">
        <v>47</v>
      </c>
      <c r="N13">
        <v>11</v>
      </c>
      <c r="O13" s="18" t="s">
        <v>121</v>
      </c>
      <c r="P13" t="s">
        <v>122</v>
      </c>
      <c r="Q13" t="s">
        <v>123</v>
      </c>
      <c r="R13" t="s">
        <v>48</v>
      </c>
      <c r="S13" t="s">
        <v>104</v>
      </c>
      <c r="T13">
        <v>2025</v>
      </c>
      <c r="U13" t="s">
        <v>49</v>
      </c>
      <c r="V13" t="s">
        <v>50</v>
      </c>
      <c r="W13">
        <v>719</v>
      </c>
      <c r="X13">
        <v>2.64</v>
      </c>
      <c r="Y13">
        <v>19</v>
      </c>
      <c r="Z13" t="s">
        <v>63</v>
      </c>
      <c r="AA13">
        <v>250</v>
      </c>
      <c r="AB13">
        <v>19.12</v>
      </c>
      <c r="AC13">
        <v>188.25</v>
      </c>
      <c r="AD13">
        <v>57</v>
      </c>
      <c r="AE13">
        <v>2339</v>
      </c>
      <c r="AF13" s="19" t="s">
        <v>124</v>
      </c>
      <c r="AG13" s="10" t="s">
        <v>125</v>
      </c>
      <c r="AH13" t="s">
        <v>126</v>
      </c>
    </row>
    <row r="14" spans="1:34" x14ac:dyDescent="0.25">
      <c r="A14" s="40">
        <v>20012</v>
      </c>
      <c r="B14" s="16" t="b">
        <v>1</v>
      </c>
      <c r="C14" s="7" t="s">
        <v>127</v>
      </c>
      <c r="D14" t="s">
        <v>128</v>
      </c>
      <c r="E14" t="s">
        <v>42</v>
      </c>
      <c r="F14" t="s">
        <v>55</v>
      </c>
      <c r="G14" s="28" t="s">
        <v>129</v>
      </c>
      <c r="H14" s="28" t="str">
        <f>MID(Table1[[#This Row],[Centroid Coordinates]], 14+1, LEN(Table1[[#This Row],[Centroid Coordinates]]) - (14+1))</f>
        <v>43.6399793</v>
      </c>
      <c r="I14" s="28" t="str">
        <f>MID(Table1[[#This Row],[Centroid Coordinates]], 1+1, LEN(Table1[[#This Row],[Centroid Coordinates]]) - (1+13))</f>
        <v>-79.4189436</v>
      </c>
      <c r="J14" t="s">
        <v>130</v>
      </c>
      <c r="K14" t="s">
        <v>131</v>
      </c>
      <c r="L14" t="s">
        <v>71</v>
      </c>
      <c r="M14" t="s">
        <v>47</v>
      </c>
      <c r="N14">
        <v>10</v>
      </c>
      <c r="O14" t="s">
        <v>132</v>
      </c>
      <c r="P14" t="s">
        <v>122</v>
      </c>
      <c r="Q14" t="s">
        <v>133</v>
      </c>
      <c r="R14">
        <v>2020</v>
      </c>
      <c r="S14">
        <v>2024</v>
      </c>
      <c r="T14" s="9">
        <v>2023</v>
      </c>
      <c r="U14" t="s">
        <v>62</v>
      </c>
      <c r="V14" t="s">
        <v>50</v>
      </c>
      <c r="W14">
        <v>963</v>
      </c>
      <c r="X14">
        <v>3.01</v>
      </c>
      <c r="Y14">
        <v>29</v>
      </c>
      <c r="Z14" t="s">
        <v>63</v>
      </c>
      <c r="AA14" t="s">
        <v>63</v>
      </c>
      <c r="AB14">
        <v>6.85</v>
      </c>
      <c r="AC14" t="s">
        <v>134</v>
      </c>
      <c r="AD14" t="s">
        <v>135</v>
      </c>
      <c r="AE14">
        <v>12129</v>
      </c>
      <c r="AF14" t="s">
        <v>136</v>
      </c>
      <c r="AG14" s="10" t="s">
        <v>116</v>
      </c>
    </row>
    <row r="15" spans="1:34" x14ac:dyDescent="0.25">
      <c r="A15" s="41">
        <v>19001</v>
      </c>
      <c r="B15" s="16" t="b">
        <v>1</v>
      </c>
      <c r="C15" s="7" t="s">
        <v>137</v>
      </c>
      <c r="D15" t="s">
        <v>138</v>
      </c>
      <c r="E15" t="s">
        <v>42</v>
      </c>
      <c r="F15" t="s">
        <v>55</v>
      </c>
      <c r="G15" s="28" t="s">
        <v>139</v>
      </c>
      <c r="H15" s="28" t="str">
        <f>MID(Table1[[#This Row],[Centroid Coordinates]], 14+1, LEN(Table1[[#This Row],[Centroid Coordinates]]) - (14+1))</f>
        <v>43.6433640</v>
      </c>
      <c r="I15" s="28" t="str">
        <f>MID(Table1[[#This Row],[Centroid Coordinates]], 1+1, LEN(Table1[[#This Row],[Centroid Coordinates]]) - (1+13))</f>
        <v>-79.3891230</v>
      </c>
      <c r="J15" t="s">
        <v>140</v>
      </c>
      <c r="K15" t="s">
        <v>141</v>
      </c>
      <c r="L15" t="s">
        <v>46</v>
      </c>
      <c r="M15" t="s">
        <v>47</v>
      </c>
      <c r="N15">
        <v>10</v>
      </c>
      <c r="O15" t="s">
        <v>142</v>
      </c>
      <c r="P15" t="s">
        <v>143</v>
      </c>
      <c r="Q15" t="s">
        <v>144</v>
      </c>
      <c r="R15">
        <v>2019</v>
      </c>
      <c r="S15" t="s">
        <v>104</v>
      </c>
      <c r="T15">
        <v>2025</v>
      </c>
      <c r="U15" t="s">
        <v>62</v>
      </c>
      <c r="V15" t="s">
        <v>50</v>
      </c>
      <c r="W15">
        <v>1793</v>
      </c>
      <c r="X15">
        <v>2.67</v>
      </c>
      <c r="Y15">
        <v>48</v>
      </c>
      <c r="Z15" t="s">
        <v>63</v>
      </c>
      <c r="AA15" t="s">
        <v>63</v>
      </c>
      <c r="AB15">
        <v>17.7</v>
      </c>
      <c r="AC15" t="s">
        <v>145</v>
      </c>
      <c r="AD15" s="11" t="s">
        <v>146</v>
      </c>
      <c r="AE15">
        <v>16393</v>
      </c>
      <c r="AF15" s="19" t="s">
        <v>124</v>
      </c>
      <c r="AG15" s="10" t="s">
        <v>147</v>
      </c>
      <c r="AH15" t="s">
        <v>148</v>
      </c>
    </row>
    <row r="16" spans="1:34" x14ac:dyDescent="0.25">
      <c r="A16" s="41">
        <v>19001</v>
      </c>
      <c r="B16" s="29" t="b">
        <v>1</v>
      </c>
      <c r="C16" s="7" t="s">
        <v>137</v>
      </c>
      <c r="D16" t="s">
        <v>138</v>
      </c>
      <c r="E16" t="s">
        <v>42</v>
      </c>
      <c r="F16" t="s">
        <v>55</v>
      </c>
      <c r="G16" s="28" t="s">
        <v>149</v>
      </c>
      <c r="H16" s="28" t="str">
        <f>MID(Table1[[#This Row],[Centroid Coordinates]], 14+1, LEN(Table1[[#This Row],[Centroid Coordinates]]) - (14+1))</f>
        <v>43.6432270</v>
      </c>
      <c r="I16" s="28" t="str">
        <f>MID(Table1[[#This Row],[Centroid Coordinates]], 1+1, LEN(Table1[[#This Row],[Centroid Coordinates]]) - (1+13))</f>
        <v>-79.3902670</v>
      </c>
      <c r="J16" t="s">
        <v>150</v>
      </c>
      <c r="K16" t="s">
        <v>141</v>
      </c>
      <c r="L16" t="s">
        <v>46</v>
      </c>
      <c r="M16" t="s">
        <v>47</v>
      </c>
      <c r="N16">
        <v>10</v>
      </c>
      <c r="O16" t="s">
        <v>142</v>
      </c>
      <c r="P16" t="s">
        <v>143</v>
      </c>
      <c r="Q16" t="s">
        <v>144</v>
      </c>
      <c r="R16">
        <v>2019</v>
      </c>
      <c r="S16" t="s">
        <v>104</v>
      </c>
      <c r="T16">
        <v>2025</v>
      </c>
      <c r="U16" t="s">
        <v>62</v>
      </c>
      <c r="V16" t="s">
        <v>50</v>
      </c>
      <c r="W16">
        <v>1793</v>
      </c>
      <c r="X16">
        <v>2.67</v>
      </c>
      <c r="Y16">
        <v>48</v>
      </c>
      <c r="Z16" t="s">
        <v>63</v>
      </c>
      <c r="AA16" t="s">
        <v>63</v>
      </c>
      <c r="AB16">
        <v>17.7</v>
      </c>
      <c r="AC16" t="s">
        <v>145</v>
      </c>
      <c r="AD16" s="11" t="s">
        <v>146</v>
      </c>
      <c r="AE16">
        <v>16393</v>
      </c>
      <c r="AF16" s="19" t="s">
        <v>124</v>
      </c>
      <c r="AG16" s="10" t="s">
        <v>147</v>
      </c>
      <c r="AH16" t="s">
        <v>148</v>
      </c>
    </row>
    <row r="17" spans="1:34" x14ac:dyDescent="0.25">
      <c r="A17" s="40">
        <v>14081</v>
      </c>
      <c r="B17" s="16" t="b">
        <v>1</v>
      </c>
      <c r="C17" t="s">
        <v>151</v>
      </c>
      <c r="D17" t="s">
        <v>152</v>
      </c>
      <c r="E17" t="s">
        <v>42</v>
      </c>
      <c r="F17" t="s">
        <v>55</v>
      </c>
      <c r="G17" s="28" t="s">
        <v>153</v>
      </c>
      <c r="H17" s="28" t="str">
        <f>MID(Table1[[#This Row],[Centroid Coordinates]], 14+1, LEN(Table1[[#This Row],[Centroid Coordinates]]) - (14+1))</f>
        <v>43.6267741</v>
      </c>
      <c r="I17" s="28" t="str">
        <f>MID(Table1[[#This Row],[Centroid Coordinates]], 1+1, LEN(Table1[[#This Row],[Centroid Coordinates]]) - (1+13))</f>
        <v>-79.4799725</v>
      </c>
      <c r="J17" t="s">
        <v>154</v>
      </c>
      <c r="K17" t="s">
        <v>155</v>
      </c>
      <c r="L17" t="s">
        <v>71</v>
      </c>
      <c r="M17" t="s">
        <v>47</v>
      </c>
      <c r="N17">
        <v>3</v>
      </c>
      <c r="O17" s="18" t="s">
        <v>156</v>
      </c>
      <c r="P17" t="s">
        <v>142</v>
      </c>
      <c r="Q17" t="s">
        <v>157</v>
      </c>
      <c r="R17" s="19">
        <v>2014</v>
      </c>
      <c r="S17" s="19" t="s">
        <v>104</v>
      </c>
      <c r="T17">
        <v>2021</v>
      </c>
      <c r="U17" t="s">
        <v>158</v>
      </c>
      <c r="V17" t="s">
        <v>159</v>
      </c>
      <c r="W17" s="19"/>
      <c r="X17" s="19"/>
      <c r="Y17" s="19"/>
      <c r="Z17" s="19"/>
      <c r="AA17" s="19"/>
      <c r="AB17" s="19"/>
      <c r="AC17" s="19"/>
      <c r="AD17" s="18" t="s">
        <v>160</v>
      </c>
      <c r="AE17" s="19"/>
      <c r="AF17" s="19" t="s">
        <v>161</v>
      </c>
      <c r="AG17" s="10" t="s">
        <v>162</v>
      </c>
      <c r="AH17" t="s">
        <v>163</v>
      </c>
    </row>
    <row r="18" spans="1:34" x14ac:dyDescent="0.25">
      <c r="A18" s="42" t="s">
        <v>164</v>
      </c>
      <c r="B18" s="17" t="b">
        <v>1</v>
      </c>
      <c r="C18" s="19" t="s">
        <v>165</v>
      </c>
      <c r="D18" t="s">
        <v>166</v>
      </c>
      <c r="E18" t="s">
        <v>42</v>
      </c>
      <c r="F18" t="s">
        <v>43</v>
      </c>
      <c r="G18" s="28" t="s">
        <v>167</v>
      </c>
      <c r="H18" s="28" t="str">
        <f>MID(Table1[[#This Row],[Centroid Coordinates]], 14+1, LEN(Table1[[#This Row],[Centroid Coordinates]]) - (14+1))</f>
        <v>43.6692702</v>
      </c>
      <c r="I18" s="28" t="str">
        <f>MID(Table1[[#This Row],[Centroid Coordinates]], 1+1, LEN(Table1[[#This Row],[Centroid Coordinates]]) - (1+13))</f>
        <v>-79.3993584</v>
      </c>
      <c r="J18" t="s">
        <v>168</v>
      </c>
      <c r="K18" s="19"/>
      <c r="L18" t="s">
        <v>71</v>
      </c>
      <c r="M18" t="s">
        <v>47</v>
      </c>
      <c r="N18">
        <v>11</v>
      </c>
      <c r="O18" s="19"/>
      <c r="P18" s="19"/>
      <c r="Q18" s="19"/>
      <c r="R18" s="19"/>
      <c r="S18" s="19"/>
      <c r="T18" s="19">
        <v>2023</v>
      </c>
      <c r="U18" t="s">
        <v>62</v>
      </c>
      <c r="V18" t="s">
        <v>50</v>
      </c>
      <c r="W18">
        <v>94</v>
      </c>
      <c r="X18">
        <v>0</v>
      </c>
      <c r="Y18">
        <v>0</v>
      </c>
      <c r="Z18">
        <v>36</v>
      </c>
      <c r="AB18">
        <v>5.47</v>
      </c>
      <c r="AC18">
        <v>43</v>
      </c>
      <c r="AD18">
        <v>13</v>
      </c>
      <c r="AE18">
        <v>1211</v>
      </c>
      <c r="AF18" s="11" t="s">
        <v>169</v>
      </c>
      <c r="AG18" s="10" t="s">
        <v>170</v>
      </c>
      <c r="AH18" t="s">
        <v>171</v>
      </c>
    </row>
    <row r="19" spans="1:34" x14ac:dyDescent="0.25">
      <c r="A19" s="43" t="s">
        <v>172</v>
      </c>
      <c r="B19" s="17" t="b">
        <v>1</v>
      </c>
      <c r="C19" s="8" t="s">
        <v>173</v>
      </c>
      <c r="D19" t="s">
        <v>174</v>
      </c>
      <c r="E19" t="s">
        <v>42</v>
      </c>
      <c r="F19" t="s">
        <v>55</v>
      </c>
      <c r="G19" s="28" t="s">
        <v>175</v>
      </c>
      <c r="H19" s="28" t="str">
        <f>MID(Table1[[#This Row],[Centroid Coordinates]], 14+1, LEN(Table1[[#This Row],[Centroid Coordinates]]) - (14+1))</f>
        <v>43.7160963</v>
      </c>
      <c r="I19" s="28" t="str">
        <f>MID(Table1[[#This Row],[Centroid Coordinates]], 1+1, LEN(Table1[[#This Row],[Centroid Coordinates]]) - (1+13))</f>
        <v>-79.3362448</v>
      </c>
      <c r="J19" t="s">
        <v>176</v>
      </c>
      <c r="K19" t="s">
        <v>177</v>
      </c>
      <c r="L19" t="s">
        <v>58</v>
      </c>
      <c r="M19" t="s">
        <v>47</v>
      </c>
      <c r="N19">
        <v>16</v>
      </c>
      <c r="O19" t="s">
        <v>178</v>
      </c>
      <c r="P19" t="s">
        <v>178</v>
      </c>
      <c r="Q19" t="s">
        <v>179</v>
      </c>
      <c r="R19">
        <v>2022</v>
      </c>
      <c r="S19">
        <v>2025</v>
      </c>
      <c r="T19">
        <v>2024</v>
      </c>
      <c r="U19" t="s">
        <v>49</v>
      </c>
      <c r="V19" t="s">
        <v>50</v>
      </c>
      <c r="W19">
        <v>2536</v>
      </c>
      <c r="X19">
        <v>0</v>
      </c>
      <c r="Y19">
        <v>0</v>
      </c>
      <c r="Z19" t="s">
        <v>63</v>
      </c>
      <c r="AA19" t="s">
        <v>63</v>
      </c>
      <c r="AB19">
        <v>7.87</v>
      </c>
      <c r="AC19" t="s">
        <v>180</v>
      </c>
      <c r="AD19" t="s">
        <v>181</v>
      </c>
      <c r="AE19">
        <v>38807</v>
      </c>
      <c r="AF19" t="s">
        <v>182</v>
      </c>
      <c r="AG19" s="10" t="s">
        <v>183</v>
      </c>
      <c r="AH19" t="s">
        <v>184</v>
      </c>
    </row>
    <row r="20" spans="1:34" x14ac:dyDescent="0.25">
      <c r="A20" s="43">
        <v>22013</v>
      </c>
      <c r="B20" s="17" t="b">
        <v>1</v>
      </c>
      <c r="C20" s="35" t="s">
        <v>185</v>
      </c>
      <c r="D20" t="s">
        <v>174</v>
      </c>
      <c r="E20" t="s">
        <v>42</v>
      </c>
      <c r="F20" t="s">
        <v>55</v>
      </c>
      <c r="G20" s="28" t="s">
        <v>186</v>
      </c>
      <c r="H20" s="28" t="str">
        <f>MID(Table1[[#This Row],[Centroid Coordinates]], 14+1, LEN(Table1[[#This Row],[Centroid Coordinates]]) - (14+1))</f>
        <v>43.6722918</v>
      </c>
      <c r="I20" s="28" t="str">
        <f>MID(Table1[[#This Row],[Centroid Coordinates]], 1+1, LEN(Table1[[#This Row],[Centroid Coordinates]]) - (1+13))</f>
        <v>-79.3788514</v>
      </c>
      <c r="J20" t="s">
        <v>187</v>
      </c>
      <c r="K20" t="s">
        <v>177</v>
      </c>
      <c r="L20" t="s">
        <v>71</v>
      </c>
      <c r="M20" t="s">
        <v>188</v>
      </c>
      <c r="N20">
        <v>11</v>
      </c>
      <c r="O20" s="19"/>
      <c r="P20" s="19"/>
      <c r="Q20" s="19"/>
      <c r="R20">
        <v>2021</v>
      </c>
      <c r="S20">
        <v>2025</v>
      </c>
      <c r="T20">
        <v>2024</v>
      </c>
      <c r="U20" t="s">
        <v>49</v>
      </c>
      <c r="V20" t="s">
        <v>50</v>
      </c>
      <c r="W20">
        <v>806</v>
      </c>
      <c r="X20">
        <v>1.98</v>
      </c>
      <c r="Y20">
        <v>16</v>
      </c>
      <c r="Z20" t="s">
        <v>63</v>
      </c>
      <c r="AA20">
        <v>400</v>
      </c>
      <c r="AB20">
        <v>19.41</v>
      </c>
      <c r="AC20">
        <v>215</v>
      </c>
      <c r="AD20">
        <v>63</v>
      </c>
      <c r="AE20">
        <v>2530</v>
      </c>
      <c r="AF20" t="s">
        <v>189</v>
      </c>
      <c r="AG20" s="10" t="s">
        <v>190</v>
      </c>
      <c r="AH20" t="s">
        <v>191</v>
      </c>
    </row>
    <row r="21" spans="1:34" x14ac:dyDescent="0.25">
      <c r="A21" s="44">
        <v>21060</v>
      </c>
      <c r="B21" s="17" t="b">
        <v>1</v>
      </c>
      <c r="C21" s="8" t="s">
        <v>192</v>
      </c>
      <c r="D21" t="s">
        <v>193</v>
      </c>
      <c r="E21" t="s">
        <v>42</v>
      </c>
      <c r="F21" t="s">
        <v>55</v>
      </c>
      <c r="G21" s="28" t="s">
        <v>194</v>
      </c>
      <c r="H21" s="28" t="str">
        <f>MID(Table1[[#This Row],[Centroid Coordinates]], 14+1, LEN(Table1[[#This Row],[Centroid Coordinates]]) - (14+1))</f>
        <v>43.7000640</v>
      </c>
      <c r="I21" s="28" t="str">
        <f>MID(Table1[[#This Row],[Centroid Coordinates]], 1+1, LEN(Table1[[#This Row],[Centroid Coordinates]]) - (1+13))</f>
        <v>-79.5151872</v>
      </c>
      <c r="J21" t="s">
        <v>195</v>
      </c>
      <c r="K21" t="s">
        <v>196</v>
      </c>
      <c r="L21" t="s">
        <v>71</v>
      </c>
      <c r="M21" t="s">
        <v>188</v>
      </c>
      <c r="N21">
        <v>5</v>
      </c>
      <c r="O21" t="s">
        <v>197</v>
      </c>
      <c r="P21" t="s">
        <v>178</v>
      </c>
      <c r="Q21" s="19" t="s">
        <v>198</v>
      </c>
      <c r="R21">
        <v>2021</v>
      </c>
      <c r="S21">
        <v>2023</v>
      </c>
      <c r="T21">
        <v>2023</v>
      </c>
      <c r="U21" t="s">
        <v>49</v>
      </c>
      <c r="V21" t="s">
        <v>50</v>
      </c>
      <c r="W21">
        <v>1032</v>
      </c>
      <c r="X21">
        <v>0</v>
      </c>
      <c r="Y21">
        <v>0</v>
      </c>
      <c r="Z21">
        <v>5300</v>
      </c>
      <c r="AA21">
        <v>4800</v>
      </c>
      <c r="AB21">
        <v>15.01</v>
      </c>
      <c r="AC21" t="s">
        <v>199</v>
      </c>
      <c r="AD21" t="s">
        <v>200</v>
      </c>
      <c r="AE21">
        <v>4447</v>
      </c>
      <c r="AF21" t="s">
        <v>201</v>
      </c>
      <c r="AG21" s="10" t="s">
        <v>202</v>
      </c>
      <c r="AH21" t="s">
        <v>203</v>
      </c>
    </row>
    <row r="22" spans="1:34" x14ac:dyDescent="0.25">
      <c r="A22" s="44">
        <v>21060</v>
      </c>
      <c r="B22" s="17" t="b">
        <v>1</v>
      </c>
      <c r="C22" s="8" t="s">
        <v>192</v>
      </c>
      <c r="D22" t="s">
        <v>193</v>
      </c>
      <c r="E22" t="s">
        <v>42</v>
      </c>
      <c r="F22" t="s">
        <v>55</v>
      </c>
      <c r="G22" s="28" t="s">
        <v>204</v>
      </c>
      <c r="H22" s="28" t="str">
        <f>MID(Table1[[#This Row],[Centroid Coordinates]], 14+1, LEN(Table1[[#This Row],[Centroid Coordinates]]) - (14+1))</f>
        <v>43.7001041</v>
      </c>
      <c r="I22" s="28" t="str">
        <f>MID(Table1[[#This Row],[Centroid Coordinates]], 1+1, LEN(Table1[[#This Row],[Centroid Coordinates]]) - (1+13))</f>
        <v>-79.5154838</v>
      </c>
      <c r="J22" t="s">
        <v>205</v>
      </c>
      <c r="K22" t="s">
        <v>196</v>
      </c>
      <c r="L22" t="s">
        <v>71</v>
      </c>
      <c r="M22" t="s">
        <v>188</v>
      </c>
      <c r="N22">
        <v>5</v>
      </c>
      <c r="O22" t="s">
        <v>197</v>
      </c>
      <c r="P22" t="s">
        <v>178</v>
      </c>
      <c r="Q22" s="19" t="s">
        <v>198</v>
      </c>
      <c r="R22">
        <v>2021</v>
      </c>
      <c r="S22">
        <v>2023</v>
      </c>
      <c r="T22">
        <v>2023</v>
      </c>
      <c r="U22" t="s">
        <v>49</v>
      </c>
      <c r="V22" t="s">
        <v>50</v>
      </c>
      <c r="W22">
        <v>1032</v>
      </c>
      <c r="X22">
        <v>0</v>
      </c>
      <c r="Y22">
        <v>0</v>
      </c>
      <c r="Z22">
        <v>5300</v>
      </c>
      <c r="AA22">
        <v>4800</v>
      </c>
      <c r="AB22">
        <v>15.01</v>
      </c>
      <c r="AC22" t="s">
        <v>199</v>
      </c>
      <c r="AD22" t="s">
        <v>200</v>
      </c>
      <c r="AE22">
        <v>4447</v>
      </c>
      <c r="AF22" t="s">
        <v>201</v>
      </c>
      <c r="AG22" s="10" t="s">
        <v>202</v>
      </c>
      <c r="AH22" t="s">
        <v>203</v>
      </c>
    </row>
    <row r="23" spans="1:34" x14ac:dyDescent="0.25">
      <c r="A23" s="44">
        <v>21060</v>
      </c>
      <c r="B23" s="17" t="b">
        <v>1</v>
      </c>
      <c r="C23" s="8" t="s">
        <v>192</v>
      </c>
      <c r="D23" t="s">
        <v>193</v>
      </c>
      <c r="E23" t="s">
        <v>42</v>
      </c>
      <c r="F23" t="s">
        <v>55</v>
      </c>
      <c r="G23" s="28" t="s">
        <v>206</v>
      </c>
      <c r="H23" s="28" t="str">
        <f>MID(Table1[[#This Row],[Centroid Coordinates]], 14+1, LEN(Table1[[#This Row],[Centroid Coordinates]]) - (14+1))</f>
        <v>43.7001090</v>
      </c>
      <c r="I23" s="28" t="str">
        <f>MID(Table1[[#This Row],[Centroid Coordinates]], 1+1, LEN(Table1[[#This Row],[Centroid Coordinates]]) - (1+13))</f>
        <v>-79.5156786</v>
      </c>
      <c r="J23" t="s">
        <v>207</v>
      </c>
      <c r="K23" t="s">
        <v>196</v>
      </c>
      <c r="L23" t="s">
        <v>71</v>
      </c>
      <c r="M23" t="s">
        <v>188</v>
      </c>
      <c r="N23">
        <v>5</v>
      </c>
      <c r="O23" t="s">
        <v>197</v>
      </c>
      <c r="P23" t="s">
        <v>178</v>
      </c>
      <c r="Q23" s="19" t="s">
        <v>198</v>
      </c>
      <c r="R23">
        <v>2021</v>
      </c>
      <c r="S23">
        <v>2023</v>
      </c>
      <c r="T23">
        <v>2023</v>
      </c>
      <c r="U23" t="s">
        <v>49</v>
      </c>
      <c r="V23" t="s">
        <v>50</v>
      </c>
      <c r="W23">
        <v>1032</v>
      </c>
      <c r="X23">
        <v>0</v>
      </c>
      <c r="Y23">
        <v>0</v>
      </c>
      <c r="Z23">
        <v>5300</v>
      </c>
      <c r="AA23">
        <v>4800</v>
      </c>
      <c r="AB23">
        <v>15.01</v>
      </c>
      <c r="AC23" t="s">
        <v>199</v>
      </c>
      <c r="AD23" t="s">
        <v>200</v>
      </c>
      <c r="AE23">
        <v>4447</v>
      </c>
      <c r="AF23" t="s">
        <v>201</v>
      </c>
      <c r="AG23" s="10" t="s">
        <v>202</v>
      </c>
      <c r="AH23" t="s">
        <v>203</v>
      </c>
    </row>
    <row r="24" spans="1:34" x14ac:dyDescent="0.25">
      <c r="A24" s="43">
        <v>18003</v>
      </c>
      <c r="B24" s="17" t="b">
        <v>1</v>
      </c>
      <c r="C24" s="26" t="s">
        <v>208</v>
      </c>
      <c r="D24" t="s">
        <v>209</v>
      </c>
      <c r="E24" t="s">
        <v>42</v>
      </c>
      <c r="F24" t="s">
        <v>43</v>
      </c>
      <c r="G24" s="28" t="s">
        <v>210</v>
      </c>
      <c r="H24" s="28" t="str">
        <f>MID(Table1[[#This Row],[Centroid Coordinates]], 14+1, LEN(Table1[[#This Row],[Centroid Coordinates]]) - (14+1))</f>
        <v>43.6531766</v>
      </c>
      <c r="I24" s="28" t="str">
        <f>MID(Table1[[#This Row],[Centroid Coordinates]], 1+1, LEN(Table1[[#This Row],[Centroid Coordinates]]) - (1+13))</f>
        <v>-79.3660876</v>
      </c>
      <c r="J24" t="s">
        <v>211</v>
      </c>
      <c r="K24" s="19"/>
      <c r="L24" t="s">
        <v>71</v>
      </c>
      <c r="M24" t="s">
        <v>188</v>
      </c>
      <c r="N24">
        <v>13</v>
      </c>
      <c r="O24" t="s">
        <v>178</v>
      </c>
      <c r="P24" t="s">
        <v>178</v>
      </c>
      <c r="Q24" t="s">
        <v>178</v>
      </c>
      <c r="R24" t="s">
        <v>48</v>
      </c>
      <c r="S24">
        <v>2023</v>
      </c>
      <c r="T24">
        <v>2023</v>
      </c>
      <c r="U24" t="s">
        <v>62</v>
      </c>
      <c r="V24" t="s">
        <v>50</v>
      </c>
      <c r="W24">
        <v>1094</v>
      </c>
      <c r="X24">
        <v>0</v>
      </c>
      <c r="Y24">
        <v>0</v>
      </c>
      <c r="Z24">
        <v>17000</v>
      </c>
      <c r="AA24">
        <v>6350</v>
      </c>
      <c r="AB24">
        <v>11.6</v>
      </c>
      <c r="AC24" t="s">
        <v>212</v>
      </c>
      <c r="AD24" t="s">
        <v>213</v>
      </c>
      <c r="AE24">
        <v>6953</v>
      </c>
      <c r="AF24" t="s">
        <v>214</v>
      </c>
      <c r="AG24" s="10" t="s">
        <v>215</v>
      </c>
      <c r="AH24" t="s">
        <v>216</v>
      </c>
    </row>
    <row r="25" spans="1:34" x14ac:dyDescent="0.25">
      <c r="A25" s="43">
        <v>20056</v>
      </c>
      <c r="B25" s="17" t="b">
        <v>1</v>
      </c>
      <c r="C25" s="8" t="s">
        <v>217</v>
      </c>
      <c r="D25" t="s">
        <v>218</v>
      </c>
      <c r="E25" t="s">
        <v>42</v>
      </c>
      <c r="F25" t="s">
        <v>55</v>
      </c>
      <c r="G25" s="28" t="s">
        <v>219</v>
      </c>
      <c r="H25" s="28" t="str">
        <f>MID(Table1[[#This Row],[Centroid Coordinates]], 14+1, LEN(Table1[[#This Row],[Centroid Coordinates]]) - (14+1))</f>
        <v>43.6452977</v>
      </c>
      <c r="I25" s="28" t="str">
        <f>MID(Table1[[#This Row],[Centroid Coordinates]], 1+1, LEN(Table1[[#This Row],[Centroid Coordinates]]) - (1+13))</f>
        <v>-79.4299833</v>
      </c>
      <c r="J25" t="s">
        <v>220</v>
      </c>
      <c r="K25" t="s">
        <v>141</v>
      </c>
      <c r="L25" t="s">
        <v>71</v>
      </c>
      <c r="M25" t="s">
        <v>188</v>
      </c>
      <c r="N25">
        <v>9</v>
      </c>
      <c r="O25" t="s">
        <v>221</v>
      </c>
      <c r="P25" t="s">
        <v>143</v>
      </c>
      <c r="Q25" t="s">
        <v>222</v>
      </c>
      <c r="R25">
        <v>2020</v>
      </c>
      <c r="S25">
        <v>2025</v>
      </c>
      <c r="T25">
        <v>2025</v>
      </c>
      <c r="U25" t="s">
        <v>49</v>
      </c>
      <c r="V25" t="s">
        <v>50</v>
      </c>
      <c r="W25">
        <v>175</v>
      </c>
      <c r="X25">
        <v>3.42</v>
      </c>
      <c r="Y25">
        <v>6</v>
      </c>
      <c r="Z25" t="s">
        <v>63</v>
      </c>
      <c r="AA25">
        <v>364</v>
      </c>
      <c r="AB25">
        <v>8.4</v>
      </c>
      <c r="AC25">
        <v>67</v>
      </c>
      <c r="AD25">
        <v>18</v>
      </c>
      <c r="AE25">
        <v>1495</v>
      </c>
      <c r="AF25" t="s">
        <v>223</v>
      </c>
      <c r="AG25" s="10" t="s">
        <v>224</v>
      </c>
      <c r="AH25" t="s">
        <v>184</v>
      </c>
    </row>
    <row r="26" spans="1:34" ht="16.5" x14ac:dyDescent="0.35">
      <c r="A26" s="43">
        <v>22023</v>
      </c>
      <c r="B26" s="17" t="b">
        <v>1</v>
      </c>
      <c r="C26" t="s">
        <v>225</v>
      </c>
      <c r="D26" t="s">
        <v>226</v>
      </c>
      <c r="E26" t="s">
        <v>42</v>
      </c>
      <c r="F26" t="s">
        <v>55</v>
      </c>
      <c r="G26" s="28" t="s">
        <v>227</v>
      </c>
      <c r="H26" s="28" t="str">
        <f>MID(Table1[[#This Row],[Centroid Coordinates]], 14+1, LEN(Table1[[#This Row],[Centroid Coordinates]]) - (14+1))</f>
        <v>43.7224243</v>
      </c>
      <c r="I26" s="28" t="str">
        <f>MID(Table1[[#This Row],[Centroid Coordinates]], 1+1, LEN(Table1[[#This Row],[Centroid Coordinates]]) - (1+13))</f>
        <v>-79.3267403</v>
      </c>
      <c r="J26" s="12" t="s">
        <v>228</v>
      </c>
      <c r="K26" t="s">
        <v>229</v>
      </c>
      <c r="L26" t="s">
        <v>46</v>
      </c>
      <c r="N26">
        <v>16</v>
      </c>
      <c r="O26" t="s">
        <v>230</v>
      </c>
      <c r="P26" t="s">
        <v>231</v>
      </c>
      <c r="Q26" t="s">
        <v>232</v>
      </c>
      <c r="R26" s="31">
        <v>2022</v>
      </c>
      <c r="S26" s="31" t="s">
        <v>104</v>
      </c>
      <c r="T26">
        <v>2025</v>
      </c>
      <c r="U26" t="s">
        <v>233</v>
      </c>
      <c r="V26" t="s">
        <v>234</v>
      </c>
      <c r="W26" s="31"/>
      <c r="X26" s="31"/>
      <c r="Y26" s="31"/>
      <c r="Z26" s="31"/>
      <c r="AA26" s="31"/>
      <c r="AB26" s="19"/>
      <c r="AC26" s="19"/>
      <c r="AD26" s="19"/>
      <c r="AE26" s="19"/>
      <c r="AF26" s="19" t="s">
        <v>235</v>
      </c>
      <c r="AG26" s="10" t="s">
        <v>236</v>
      </c>
      <c r="AH26" t="s">
        <v>237</v>
      </c>
    </row>
    <row r="27" spans="1:34" x14ac:dyDescent="0.25">
      <c r="A27" s="43">
        <v>13012</v>
      </c>
      <c r="B27" s="17" t="b">
        <v>1</v>
      </c>
      <c r="C27" t="s">
        <v>238</v>
      </c>
      <c r="D27" t="s">
        <v>239</v>
      </c>
      <c r="E27" t="s">
        <v>42</v>
      </c>
      <c r="F27" t="s">
        <v>55</v>
      </c>
      <c r="G27" s="28" t="s">
        <v>240</v>
      </c>
      <c r="H27" s="28" t="str">
        <f>MID(Table1[[#This Row],[Centroid Coordinates]], 14+1, LEN(Table1[[#This Row],[Centroid Coordinates]]) - (14+1))</f>
        <v>43.6424009</v>
      </c>
      <c r="I27" s="28" t="str">
        <f>MID(Table1[[#This Row],[Centroid Coordinates]], 1+1, LEN(Table1[[#This Row],[Centroid Coordinates]]) - (1+13))</f>
        <v>-79.3968332</v>
      </c>
      <c r="J27" t="s">
        <v>241</v>
      </c>
      <c r="K27" t="s">
        <v>131</v>
      </c>
      <c r="L27" t="s">
        <v>242</v>
      </c>
      <c r="M27" t="s">
        <v>188</v>
      </c>
      <c r="N27">
        <v>10</v>
      </c>
      <c r="O27" t="s">
        <v>243</v>
      </c>
      <c r="P27" s="19"/>
      <c r="Q27" s="19"/>
      <c r="R27">
        <v>2012</v>
      </c>
      <c r="S27">
        <v>2017</v>
      </c>
      <c r="T27">
        <v>2017</v>
      </c>
      <c r="U27" t="s">
        <v>49</v>
      </c>
      <c r="V27" t="s">
        <v>50</v>
      </c>
      <c r="W27">
        <v>1537</v>
      </c>
      <c r="X27">
        <v>0</v>
      </c>
      <c r="Y27">
        <v>0</v>
      </c>
      <c r="Z27" t="s">
        <v>63</v>
      </c>
      <c r="AA27">
        <v>65000</v>
      </c>
      <c r="AB27">
        <v>9.5</v>
      </c>
      <c r="AC27" t="s">
        <v>244</v>
      </c>
      <c r="AD27" t="s">
        <v>245</v>
      </c>
      <c r="AE27">
        <v>31051</v>
      </c>
      <c r="AF27" t="s">
        <v>246</v>
      </c>
      <c r="AG27" s="10" t="s">
        <v>247</v>
      </c>
      <c r="AH27" t="s">
        <v>248</v>
      </c>
    </row>
    <row r="28" spans="1:34" x14ac:dyDescent="0.25">
      <c r="A28" s="43" t="s">
        <v>249</v>
      </c>
      <c r="B28" s="17" t="b">
        <v>1</v>
      </c>
      <c r="C28" t="s">
        <v>250</v>
      </c>
      <c r="D28" t="s">
        <v>251</v>
      </c>
      <c r="E28" t="s">
        <v>99</v>
      </c>
      <c r="F28" t="s">
        <v>43</v>
      </c>
      <c r="G28" s="28" t="s">
        <v>252</v>
      </c>
      <c r="H28" s="28" t="str">
        <f>MID(Table1[[#This Row],[Centroid Coordinates]], 14+1, LEN(Table1[[#This Row],[Centroid Coordinates]]) - (14+1))</f>
        <v>43.7499423</v>
      </c>
      <c r="I28" s="28" t="str">
        <f>MID(Table1[[#This Row],[Centroid Coordinates]], 1+1, LEN(Table1[[#This Row],[Centroid Coordinates]]) - (1+13))</f>
        <v>-79.4793688</v>
      </c>
      <c r="J28" t="s">
        <v>253</v>
      </c>
      <c r="K28" t="s">
        <v>131</v>
      </c>
      <c r="L28" t="s">
        <v>46</v>
      </c>
      <c r="M28" t="s">
        <v>188</v>
      </c>
      <c r="N28">
        <v>6</v>
      </c>
      <c r="O28" t="s">
        <v>254</v>
      </c>
      <c r="P28" t="s">
        <v>114</v>
      </c>
      <c r="Q28" t="s">
        <v>133</v>
      </c>
      <c r="R28" s="31" t="s">
        <v>48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 t="s">
        <v>255</v>
      </c>
      <c r="AG28" s="10" t="s">
        <v>63</v>
      </c>
      <c r="AH28" t="s">
        <v>256</v>
      </c>
    </row>
    <row r="29" spans="1:34" x14ac:dyDescent="0.25">
      <c r="A29" s="43">
        <v>17050</v>
      </c>
      <c r="B29" s="17" t="b">
        <v>1</v>
      </c>
      <c r="C29" t="s">
        <v>257</v>
      </c>
      <c r="D29" t="s">
        <v>258</v>
      </c>
      <c r="E29" t="s">
        <v>42</v>
      </c>
      <c r="F29" t="s">
        <v>55</v>
      </c>
      <c r="G29" s="28" t="s">
        <v>259</v>
      </c>
      <c r="H29" s="28" t="str">
        <f>MID(Table1[[#This Row],[Centroid Coordinates]], 14+1, LEN(Table1[[#This Row],[Centroid Coordinates]]) - (14+1))</f>
        <v>43.6477327</v>
      </c>
      <c r="I29" s="28" t="str">
        <f>MID(Table1[[#This Row],[Centroid Coordinates]], 1+1, LEN(Table1[[#This Row],[Centroid Coordinates]]) - (1+13))</f>
        <v>-79.3798811</v>
      </c>
      <c r="J29" t="s">
        <v>260</v>
      </c>
      <c r="K29" t="s">
        <v>261</v>
      </c>
      <c r="L29" t="s">
        <v>242</v>
      </c>
      <c r="M29" t="s">
        <v>47</v>
      </c>
      <c r="N29">
        <v>13</v>
      </c>
      <c r="O29" t="s">
        <v>262</v>
      </c>
      <c r="P29" t="s">
        <v>263</v>
      </c>
      <c r="Q29" t="s">
        <v>123</v>
      </c>
      <c r="R29">
        <v>2017</v>
      </c>
      <c r="S29">
        <v>2019</v>
      </c>
      <c r="T29">
        <v>2019</v>
      </c>
      <c r="U29" t="s">
        <v>62</v>
      </c>
      <c r="V29" t="s">
        <v>50</v>
      </c>
      <c r="W29" t="s">
        <v>63</v>
      </c>
      <c r="X29" t="s">
        <v>63</v>
      </c>
      <c r="Y29" t="s">
        <v>63</v>
      </c>
      <c r="Z29">
        <v>80000</v>
      </c>
      <c r="AA29" t="s">
        <v>63</v>
      </c>
      <c r="AB29" s="34"/>
      <c r="AC29" t="s">
        <v>264</v>
      </c>
      <c r="AD29" t="s">
        <v>265</v>
      </c>
      <c r="AE29" s="31"/>
      <c r="AF29" t="s">
        <v>266</v>
      </c>
      <c r="AG29" s="10" t="s">
        <v>267</v>
      </c>
      <c r="AH29" t="s">
        <v>268</v>
      </c>
    </row>
    <row r="30" spans="1:34" x14ac:dyDescent="0.25">
      <c r="A30" s="43">
        <v>18078</v>
      </c>
      <c r="B30" s="17" t="b">
        <v>1</v>
      </c>
      <c r="C30" s="31" t="s">
        <v>269</v>
      </c>
      <c r="D30" t="s">
        <v>258</v>
      </c>
      <c r="E30" t="s">
        <v>42</v>
      </c>
      <c r="F30" t="s">
        <v>55</v>
      </c>
      <c r="G30" s="28" t="s">
        <v>270</v>
      </c>
      <c r="H30" s="28" t="str">
        <f>MID(Table1[[#This Row],[Centroid Coordinates]], 14+1, LEN(Table1[[#This Row],[Centroid Coordinates]]) - (14+1))</f>
        <v>43.6305826</v>
      </c>
      <c r="I30" s="28" t="str">
        <f>MID(Table1[[#This Row],[Centroid Coordinates]], 1+1, LEN(Table1[[#This Row],[Centroid Coordinates]]) - (1+13))</f>
        <v>-79.5552916</v>
      </c>
      <c r="J30" t="s">
        <v>271</v>
      </c>
      <c r="K30" t="s">
        <v>131</v>
      </c>
      <c r="L30" t="s">
        <v>242</v>
      </c>
      <c r="M30" t="s">
        <v>188</v>
      </c>
      <c r="N30">
        <v>3</v>
      </c>
      <c r="O30" t="s">
        <v>272</v>
      </c>
      <c r="P30" t="s">
        <v>178</v>
      </c>
      <c r="Q30" t="s">
        <v>273</v>
      </c>
      <c r="R30" s="19">
        <v>2018</v>
      </c>
      <c r="S30" s="19" t="s">
        <v>104</v>
      </c>
      <c r="T30" t="s">
        <v>274</v>
      </c>
      <c r="U30" t="s">
        <v>275</v>
      </c>
      <c r="V30" t="s">
        <v>234</v>
      </c>
      <c r="W30" s="19"/>
      <c r="X30" s="19"/>
      <c r="Y30" s="19"/>
      <c r="Z30" s="19"/>
      <c r="AA30" s="19"/>
      <c r="AB30" s="19"/>
      <c r="AC30" s="19"/>
      <c r="AD30" t="s">
        <v>276</v>
      </c>
      <c r="AE30" s="19"/>
      <c r="AF30" s="31" t="s">
        <v>63</v>
      </c>
      <c r="AG30" s="10" t="s">
        <v>277</v>
      </c>
      <c r="AH30" t="s">
        <v>278</v>
      </c>
    </row>
    <row r="31" spans="1:34" x14ac:dyDescent="0.25">
      <c r="A31" s="43">
        <v>20060</v>
      </c>
      <c r="B31" s="17" t="b">
        <v>1</v>
      </c>
      <c r="C31" t="s">
        <v>279</v>
      </c>
      <c r="D31" t="s">
        <v>280</v>
      </c>
      <c r="E31" t="s">
        <v>42</v>
      </c>
      <c r="F31" t="s">
        <v>55</v>
      </c>
      <c r="G31" s="28" t="s">
        <v>281</v>
      </c>
      <c r="H31" s="28" t="str">
        <f>MID(Table1[[#This Row],[Centroid Coordinates]], 14+1, LEN(Table1[[#This Row],[Centroid Coordinates]]) - (14+1))</f>
        <v>43.7778776</v>
      </c>
      <c r="I31" s="28" t="str">
        <f>MID(Table1[[#This Row],[Centroid Coordinates]], 1+1, LEN(Table1[[#This Row],[Centroid Coordinates]]) - (1+13))</f>
        <v>-79.3432322</v>
      </c>
      <c r="J31" t="s">
        <v>282</v>
      </c>
      <c r="K31" t="s">
        <v>283</v>
      </c>
      <c r="L31" t="s">
        <v>284</v>
      </c>
      <c r="M31" t="s">
        <v>188</v>
      </c>
      <c r="N31">
        <v>17</v>
      </c>
      <c r="O31" t="s">
        <v>285</v>
      </c>
      <c r="P31" t="s">
        <v>286</v>
      </c>
      <c r="Q31" t="s">
        <v>287</v>
      </c>
      <c r="R31">
        <v>2020</v>
      </c>
      <c r="S31">
        <v>2024</v>
      </c>
      <c r="T31">
        <v>2024</v>
      </c>
      <c r="U31" t="s">
        <v>288</v>
      </c>
      <c r="V31" t="s">
        <v>50</v>
      </c>
      <c r="W31">
        <v>6200</v>
      </c>
      <c r="X31" t="s">
        <v>63</v>
      </c>
      <c r="Y31" t="s">
        <v>63</v>
      </c>
      <c r="Z31" t="s">
        <v>63</v>
      </c>
      <c r="AA31" t="s">
        <v>63</v>
      </c>
      <c r="AB31">
        <v>2.81</v>
      </c>
      <c r="AC31">
        <v>179</v>
      </c>
      <c r="AD31" t="s">
        <v>289</v>
      </c>
      <c r="AE31">
        <v>188261</v>
      </c>
      <c r="AF31" t="s">
        <v>290</v>
      </c>
      <c r="AG31" s="10" t="s">
        <v>291</v>
      </c>
      <c r="AH31" t="s">
        <v>292</v>
      </c>
    </row>
    <row r="32" spans="1:34" x14ac:dyDescent="0.25">
      <c r="A32" s="43">
        <v>18070</v>
      </c>
      <c r="B32" s="17" t="b">
        <v>1</v>
      </c>
      <c r="C32" t="s">
        <v>293</v>
      </c>
      <c r="D32" t="s">
        <v>294</v>
      </c>
      <c r="E32" t="s">
        <v>42</v>
      </c>
      <c r="F32" t="s">
        <v>295</v>
      </c>
      <c r="G32" s="28" t="s">
        <v>296</v>
      </c>
      <c r="H32" s="28" t="str">
        <f>MID(Table1[[#This Row],[Centroid Coordinates]], 14+1, LEN(Table1[[#This Row],[Centroid Coordinates]]) - (14+1))</f>
        <v>43.7565924</v>
      </c>
      <c r="I32" s="28" t="str">
        <f>MID(Table1[[#This Row],[Centroid Coordinates]], 1+1, LEN(Table1[[#This Row],[Centroid Coordinates]]) - (1+13))</f>
        <v>-79.5149534</v>
      </c>
      <c r="J32" t="s">
        <v>297</v>
      </c>
      <c r="K32" t="s">
        <v>298</v>
      </c>
      <c r="L32" t="s">
        <v>284</v>
      </c>
      <c r="M32" t="s">
        <v>188</v>
      </c>
      <c r="N32">
        <v>7</v>
      </c>
      <c r="O32" t="s">
        <v>299</v>
      </c>
      <c r="P32" t="s">
        <v>300</v>
      </c>
      <c r="Q32" t="s">
        <v>301</v>
      </c>
      <c r="R32">
        <v>2018</v>
      </c>
      <c r="S32">
        <v>2024</v>
      </c>
      <c r="T32">
        <v>2024</v>
      </c>
      <c r="U32" t="s">
        <v>49</v>
      </c>
      <c r="V32" t="s">
        <v>50</v>
      </c>
      <c r="W32">
        <v>4636</v>
      </c>
      <c r="X32" t="s">
        <v>63</v>
      </c>
      <c r="Y32" t="s">
        <v>63</v>
      </c>
      <c r="Z32" t="s">
        <v>63</v>
      </c>
      <c r="AA32" t="s">
        <v>63</v>
      </c>
      <c r="AB32">
        <v>4.99</v>
      </c>
      <c r="AC32" t="s">
        <v>302</v>
      </c>
      <c r="AD32" t="s">
        <v>303</v>
      </c>
      <c r="AE32">
        <v>32185</v>
      </c>
      <c r="AF32" t="s">
        <v>304</v>
      </c>
      <c r="AG32" s="10" t="s">
        <v>305</v>
      </c>
    </row>
    <row r="33" spans="1:34" x14ac:dyDescent="0.25">
      <c r="A33" s="43">
        <v>22054</v>
      </c>
      <c r="B33" s="17" t="b">
        <v>1</v>
      </c>
      <c r="C33" s="31" t="s">
        <v>306</v>
      </c>
      <c r="D33" t="s">
        <v>307</v>
      </c>
      <c r="E33" t="s">
        <v>42</v>
      </c>
      <c r="F33" t="s">
        <v>295</v>
      </c>
      <c r="G33" s="28" t="s">
        <v>308</v>
      </c>
      <c r="H33" s="28" t="str">
        <f>MID(Table1[[#This Row],[Centroid Coordinates]], 14+1, LEN(Table1[[#This Row],[Centroid Coordinates]]) - (14+1))</f>
        <v>43.6751576</v>
      </c>
      <c r="I33" s="28" t="str">
        <f>MID(Table1[[#This Row],[Centroid Coordinates]], 1+1, LEN(Table1[[#This Row],[Centroid Coordinates]]) - (1+13))</f>
        <v>-79.4147526</v>
      </c>
      <c r="J33" t="s">
        <v>309</v>
      </c>
      <c r="K33" t="s">
        <v>310</v>
      </c>
      <c r="L33" t="s">
        <v>284</v>
      </c>
      <c r="M33" t="s">
        <v>188</v>
      </c>
      <c r="N33">
        <v>12</v>
      </c>
      <c r="O33" t="s">
        <v>311</v>
      </c>
      <c r="P33" s="27"/>
      <c r="Q33" s="27"/>
      <c r="R33" s="31">
        <v>2020</v>
      </c>
      <c r="S33" s="9" t="s">
        <v>104</v>
      </c>
      <c r="T33">
        <v>2024</v>
      </c>
      <c r="U33" t="s">
        <v>62</v>
      </c>
      <c r="V33" t="s">
        <v>50</v>
      </c>
      <c r="W33" s="31"/>
      <c r="X33" s="31"/>
      <c r="Y33" s="31"/>
      <c r="Z33" s="31"/>
      <c r="AA33" s="31"/>
      <c r="AB33">
        <v>10.6</v>
      </c>
      <c r="AC33" t="s">
        <v>312</v>
      </c>
      <c r="AD33" t="s">
        <v>313</v>
      </c>
      <c r="AE33">
        <v>18240</v>
      </c>
      <c r="AF33" s="9"/>
      <c r="AG33" s="10" t="s">
        <v>314</v>
      </c>
      <c r="AH33" t="s">
        <v>315</v>
      </c>
    </row>
    <row r="34" spans="1:34" x14ac:dyDescent="0.25">
      <c r="A34" s="44">
        <v>21079</v>
      </c>
      <c r="B34" s="17" t="b">
        <v>1</v>
      </c>
      <c r="C34" t="s">
        <v>316</v>
      </c>
      <c r="D34" t="s">
        <v>317</v>
      </c>
      <c r="E34" t="s">
        <v>42</v>
      </c>
      <c r="F34" t="s">
        <v>295</v>
      </c>
      <c r="G34" s="28" t="s">
        <v>318</v>
      </c>
      <c r="H34" s="28" t="str">
        <f>MID(Table1[[#This Row],[Centroid Coordinates]], 14+1, LEN(Table1[[#This Row],[Centroid Coordinates]]) - (14+1))</f>
        <v>43.6466171</v>
      </c>
      <c r="I34" s="28" t="str">
        <f>MID(Table1[[#This Row],[Centroid Coordinates]], 1+1, LEN(Table1[[#This Row],[Centroid Coordinates]]) - (1+13))</f>
        <v>-79.3632410</v>
      </c>
      <c r="J34" t="s">
        <v>319</v>
      </c>
      <c r="K34" t="s">
        <v>320</v>
      </c>
      <c r="L34" t="s">
        <v>321</v>
      </c>
      <c r="M34" t="s">
        <v>188</v>
      </c>
      <c r="N34">
        <v>10</v>
      </c>
      <c r="O34" t="s">
        <v>322</v>
      </c>
      <c r="P34" t="s">
        <v>178</v>
      </c>
      <c r="Q34" t="s">
        <v>73</v>
      </c>
      <c r="R34">
        <v>2021</v>
      </c>
      <c r="S34">
        <v>2024</v>
      </c>
      <c r="T34">
        <v>2024</v>
      </c>
      <c r="U34" t="s">
        <v>62</v>
      </c>
      <c r="V34" t="s">
        <v>50</v>
      </c>
      <c r="W34">
        <v>2811</v>
      </c>
      <c r="X34">
        <v>16.29</v>
      </c>
      <c r="Y34">
        <v>458</v>
      </c>
      <c r="Z34" t="s">
        <v>63</v>
      </c>
      <c r="AA34" t="s">
        <v>63</v>
      </c>
      <c r="AB34">
        <v>10.62</v>
      </c>
      <c r="AC34">
        <v>231</v>
      </c>
      <c r="AD34" t="s">
        <v>313</v>
      </c>
      <c r="AE34" s="11">
        <v>18240</v>
      </c>
      <c r="AF34" t="s">
        <v>323</v>
      </c>
      <c r="AG34" s="10" t="s">
        <v>324</v>
      </c>
      <c r="AH34" t="s">
        <v>325</v>
      </c>
    </row>
    <row r="35" spans="1:34" x14ac:dyDescent="0.25">
      <c r="A35" s="44">
        <v>21079</v>
      </c>
      <c r="B35" s="17" t="b">
        <v>1</v>
      </c>
      <c r="C35" t="s">
        <v>316</v>
      </c>
      <c r="D35" t="s">
        <v>317</v>
      </c>
      <c r="E35" t="s">
        <v>42</v>
      </c>
      <c r="F35" t="s">
        <v>295</v>
      </c>
      <c r="G35" s="28" t="s">
        <v>326</v>
      </c>
      <c r="H35" s="28" t="str">
        <f>MID(Table1[[#This Row],[Centroid Coordinates]], 14+1, LEN(Table1[[#This Row],[Centroid Coordinates]]) - (14+1))</f>
        <v>43.6469674</v>
      </c>
      <c r="I35" s="28" t="str">
        <f>MID(Table1[[#This Row],[Centroid Coordinates]], 1+1, LEN(Table1[[#This Row],[Centroid Coordinates]]) - (1+13))</f>
        <v>-79.3597922</v>
      </c>
      <c r="J35" t="s">
        <v>327</v>
      </c>
      <c r="K35" t="s">
        <v>320</v>
      </c>
      <c r="L35" t="s">
        <v>321</v>
      </c>
      <c r="M35" t="s">
        <v>188</v>
      </c>
      <c r="N35">
        <v>10</v>
      </c>
      <c r="O35" t="s">
        <v>322</v>
      </c>
      <c r="P35" t="s">
        <v>178</v>
      </c>
      <c r="Q35" t="s">
        <v>73</v>
      </c>
      <c r="R35" s="31">
        <v>2021</v>
      </c>
      <c r="S35" s="31">
        <v>2024</v>
      </c>
      <c r="T35">
        <v>2024</v>
      </c>
      <c r="U35" t="s">
        <v>62</v>
      </c>
      <c r="V35" t="s">
        <v>50</v>
      </c>
      <c r="W35">
        <v>2811</v>
      </c>
      <c r="X35">
        <v>16.29</v>
      </c>
      <c r="Y35">
        <v>458</v>
      </c>
      <c r="Z35" t="s">
        <v>63</v>
      </c>
      <c r="AA35" t="s">
        <v>63</v>
      </c>
      <c r="AB35">
        <v>10.62</v>
      </c>
      <c r="AC35">
        <v>231</v>
      </c>
      <c r="AD35" t="s">
        <v>313</v>
      </c>
      <c r="AE35" s="11">
        <v>18240</v>
      </c>
      <c r="AF35" t="s">
        <v>323</v>
      </c>
      <c r="AG35" s="10" t="s">
        <v>324</v>
      </c>
      <c r="AH35" t="s">
        <v>325</v>
      </c>
    </row>
    <row r="36" spans="1:34" x14ac:dyDescent="0.25">
      <c r="A36" s="43">
        <v>17021</v>
      </c>
      <c r="B36" s="17" t="b">
        <v>1</v>
      </c>
      <c r="C36" t="s">
        <v>328</v>
      </c>
      <c r="D36" t="s">
        <v>138</v>
      </c>
      <c r="E36" t="s">
        <v>42</v>
      </c>
      <c r="F36" t="s">
        <v>295</v>
      </c>
      <c r="G36" s="28" t="s">
        <v>329</v>
      </c>
      <c r="H36" s="28" t="str">
        <f>MID(Table1[[#This Row],[Centroid Coordinates]], 14+1, LEN(Table1[[#This Row],[Centroid Coordinates]]) - (14+1))</f>
        <v>43.7060136</v>
      </c>
      <c r="I36" s="28" t="str">
        <f>MID(Table1[[#This Row],[Centroid Coordinates]], 1+1, LEN(Table1[[#This Row],[Centroid Coordinates]]) - (1+13))</f>
        <v>-79.3984815</v>
      </c>
      <c r="J36" t="s">
        <v>330</v>
      </c>
      <c r="K36" t="s">
        <v>331</v>
      </c>
      <c r="L36" t="s">
        <v>58</v>
      </c>
      <c r="M36" t="s">
        <v>188</v>
      </c>
      <c r="N36">
        <v>12</v>
      </c>
      <c r="O36" t="s">
        <v>332</v>
      </c>
      <c r="P36" t="s">
        <v>263</v>
      </c>
      <c r="Q36" s="19" t="s">
        <v>333</v>
      </c>
      <c r="R36" s="31">
        <v>2017</v>
      </c>
      <c r="S36" t="s">
        <v>104</v>
      </c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 t="s">
        <v>63</v>
      </c>
      <c r="AG36" s="10" t="s">
        <v>334</v>
      </c>
      <c r="AH36" t="s">
        <v>335</v>
      </c>
    </row>
    <row r="37" spans="1:34" x14ac:dyDescent="0.25">
      <c r="A37" s="43">
        <v>20079</v>
      </c>
      <c r="B37" s="17" t="b">
        <v>1</v>
      </c>
      <c r="C37" s="19" t="s">
        <v>336</v>
      </c>
      <c r="D37" t="s">
        <v>337</v>
      </c>
      <c r="E37" t="s">
        <v>42</v>
      </c>
      <c r="F37" t="s">
        <v>295</v>
      </c>
      <c r="G37" s="28" t="s">
        <v>338</v>
      </c>
      <c r="H37" s="28" t="str">
        <f>MID(Table1[[#This Row],[Centroid Coordinates]], 14+1, LEN(Table1[[#This Row],[Centroid Coordinates]]) - (14+1))</f>
        <v>43.6374145</v>
      </c>
      <c r="I37" s="28" t="str">
        <f>MID(Table1[[#This Row],[Centroid Coordinates]], 1+1, LEN(Table1[[#This Row],[Centroid Coordinates]]) - (1+13))</f>
        <v>-79.3978928</v>
      </c>
      <c r="J37" t="s">
        <v>339</v>
      </c>
      <c r="K37" t="s">
        <v>70</v>
      </c>
      <c r="L37" t="s">
        <v>340</v>
      </c>
      <c r="M37" t="s">
        <v>188</v>
      </c>
      <c r="N37">
        <v>10</v>
      </c>
      <c r="O37" t="s">
        <v>114</v>
      </c>
      <c r="P37" s="19"/>
      <c r="Q37" s="19"/>
      <c r="R37" s="31">
        <v>2020</v>
      </c>
      <c r="S37" t="s">
        <v>104</v>
      </c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 t="s">
        <v>63</v>
      </c>
      <c r="AG37" s="10" t="s">
        <v>341</v>
      </c>
      <c r="AH37" t="s">
        <v>342</v>
      </c>
    </row>
    <row r="38" spans="1:34" x14ac:dyDescent="0.25">
      <c r="A38" s="43">
        <v>18088</v>
      </c>
      <c r="B38" s="17" t="b">
        <v>1</v>
      </c>
      <c r="C38" s="31" t="s">
        <v>343</v>
      </c>
      <c r="D38" t="s">
        <v>344</v>
      </c>
      <c r="E38" t="s">
        <v>42</v>
      </c>
      <c r="F38" t="s">
        <v>295</v>
      </c>
      <c r="G38" s="28" t="s">
        <v>345</v>
      </c>
      <c r="H38" s="28" t="str">
        <f>MID(Table1[[#This Row],[Centroid Coordinates]], 14+1, LEN(Table1[[#This Row],[Centroid Coordinates]]) - (14+1))</f>
        <v>43.6656687</v>
      </c>
      <c r="I38" s="28" t="str">
        <f>MID(Table1[[#This Row],[Centroid Coordinates]], 1+1, LEN(Table1[[#This Row],[Centroid Coordinates]]) - (1+13))</f>
        <v>-79.3168033</v>
      </c>
      <c r="J38" t="s">
        <v>346</v>
      </c>
      <c r="K38" t="s">
        <v>347</v>
      </c>
      <c r="L38" t="s">
        <v>58</v>
      </c>
      <c r="M38" t="s">
        <v>188</v>
      </c>
      <c r="N38">
        <v>14</v>
      </c>
      <c r="O38" t="s">
        <v>348</v>
      </c>
      <c r="P38" s="19"/>
      <c r="Q38" s="19"/>
      <c r="R38">
        <v>2018</v>
      </c>
      <c r="S38">
        <v>2020</v>
      </c>
      <c r="T38">
        <v>2020</v>
      </c>
      <c r="U38" t="s">
        <v>82</v>
      </c>
      <c r="V38" t="s">
        <v>50</v>
      </c>
      <c r="W38">
        <v>766</v>
      </c>
      <c r="Y38">
        <v>220</v>
      </c>
      <c r="Z38" t="s">
        <v>63</v>
      </c>
      <c r="AA38" t="s">
        <v>63</v>
      </c>
      <c r="AB38">
        <v>4.41</v>
      </c>
      <c r="AC38" t="s">
        <v>349</v>
      </c>
      <c r="AD38" t="s">
        <v>350</v>
      </c>
      <c r="AE38">
        <v>13422</v>
      </c>
      <c r="AF38" t="s">
        <v>351</v>
      </c>
      <c r="AG38" s="10" t="s">
        <v>352</v>
      </c>
      <c r="AH38" t="s">
        <v>353</v>
      </c>
    </row>
    <row r="39" spans="1:34" x14ac:dyDescent="0.25">
      <c r="A39" s="44">
        <v>18088</v>
      </c>
      <c r="B39" s="17" t="b">
        <v>1</v>
      </c>
      <c r="C39" t="s">
        <v>343</v>
      </c>
      <c r="D39" t="s">
        <v>344</v>
      </c>
      <c r="E39" t="s">
        <v>42</v>
      </c>
      <c r="F39" t="s">
        <v>295</v>
      </c>
      <c r="G39" s="28" t="s">
        <v>354</v>
      </c>
      <c r="H39" s="28" t="str">
        <f>MID(Table1[[#This Row],[Centroid Coordinates]], 14+1, LEN(Table1[[#This Row],[Centroid Coordinates]]) - (14+1))</f>
        <v>43.6654821</v>
      </c>
      <c r="I39" s="28" t="str">
        <f>MID(Table1[[#This Row],[Centroid Coordinates]], 1+1, LEN(Table1[[#This Row],[Centroid Coordinates]]) - (1+13))</f>
        <v>-79.3184975</v>
      </c>
      <c r="J39" t="s">
        <v>355</v>
      </c>
      <c r="K39" t="s">
        <v>347</v>
      </c>
      <c r="L39" t="s">
        <v>58</v>
      </c>
      <c r="M39" t="s">
        <v>188</v>
      </c>
      <c r="N39">
        <v>14</v>
      </c>
      <c r="O39" t="s">
        <v>348</v>
      </c>
      <c r="P39" s="19"/>
      <c r="Q39" s="19"/>
      <c r="R39">
        <v>2018</v>
      </c>
      <c r="S39">
        <v>2020</v>
      </c>
      <c r="T39">
        <v>2020</v>
      </c>
      <c r="U39" t="s">
        <v>82</v>
      </c>
      <c r="V39" t="s">
        <v>50</v>
      </c>
      <c r="W39">
        <v>766</v>
      </c>
      <c r="Y39">
        <v>220</v>
      </c>
      <c r="Z39" t="s">
        <v>63</v>
      </c>
      <c r="AA39" t="s">
        <v>63</v>
      </c>
      <c r="AB39">
        <v>4.41</v>
      </c>
      <c r="AC39" t="s">
        <v>349</v>
      </c>
      <c r="AD39" t="s">
        <v>350</v>
      </c>
      <c r="AE39">
        <v>13422</v>
      </c>
      <c r="AF39" t="s">
        <v>351</v>
      </c>
      <c r="AG39" s="10" t="s">
        <v>352</v>
      </c>
      <c r="AH39" t="s">
        <v>353</v>
      </c>
    </row>
    <row r="40" spans="1:34" x14ac:dyDescent="0.25">
      <c r="A40" s="44">
        <v>18088</v>
      </c>
      <c r="B40" s="17" t="b">
        <v>1</v>
      </c>
      <c r="C40" t="s">
        <v>343</v>
      </c>
      <c r="D40" t="s">
        <v>344</v>
      </c>
      <c r="E40" t="s">
        <v>42</v>
      </c>
      <c r="F40" t="s">
        <v>295</v>
      </c>
      <c r="G40" s="28" t="s">
        <v>356</v>
      </c>
      <c r="H40" s="28" t="str">
        <f>MID(Table1[[#This Row],[Centroid Coordinates]], 14+1, LEN(Table1[[#This Row],[Centroid Coordinates]]) - (14+1))</f>
        <v>43.6656125</v>
      </c>
      <c r="I40" s="28" t="str">
        <f>MID(Table1[[#This Row],[Centroid Coordinates]], 1+1, LEN(Table1[[#This Row],[Centroid Coordinates]]) - (1+13))</f>
        <v>-79.3178525</v>
      </c>
      <c r="J40" t="s">
        <v>357</v>
      </c>
      <c r="K40" t="s">
        <v>347</v>
      </c>
      <c r="L40" t="s">
        <v>58</v>
      </c>
      <c r="M40" t="s">
        <v>188</v>
      </c>
      <c r="N40">
        <v>14</v>
      </c>
      <c r="O40" t="s">
        <v>348</v>
      </c>
      <c r="P40" s="19"/>
      <c r="Q40" s="19"/>
      <c r="R40">
        <v>2018</v>
      </c>
      <c r="S40">
        <v>2020</v>
      </c>
      <c r="T40">
        <v>2020</v>
      </c>
      <c r="U40" t="s">
        <v>82</v>
      </c>
      <c r="V40" t="s">
        <v>50</v>
      </c>
      <c r="W40">
        <v>766</v>
      </c>
      <c r="Y40">
        <v>220</v>
      </c>
      <c r="Z40" t="s">
        <v>63</v>
      </c>
      <c r="AA40" t="s">
        <v>63</v>
      </c>
      <c r="AB40">
        <v>4.41</v>
      </c>
      <c r="AC40" t="s">
        <v>349</v>
      </c>
      <c r="AD40" t="s">
        <v>350</v>
      </c>
      <c r="AE40">
        <v>13422</v>
      </c>
      <c r="AF40" t="s">
        <v>351</v>
      </c>
      <c r="AG40" s="10" t="s">
        <v>352</v>
      </c>
      <c r="AH40" t="s">
        <v>353</v>
      </c>
    </row>
    <row r="41" spans="1:34" x14ac:dyDescent="0.25">
      <c r="A41" s="43">
        <v>16085</v>
      </c>
      <c r="B41" s="17" t="b">
        <v>1</v>
      </c>
      <c r="C41" t="s">
        <v>358</v>
      </c>
      <c r="D41" t="s">
        <v>138</v>
      </c>
      <c r="E41" t="s">
        <v>42</v>
      </c>
      <c r="F41" t="s">
        <v>295</v>
      </c>
      <c r="G41" s="28" t="s">
        <v>359</v>
      </c>
      <c r="H41" s="28" t="str">
        <f>MID(Table1[[#This Row],[Centroid Coordinates]], 14+1, LEN(Table1[[#This Row],[Centroid Coordinates]]) - (14+1))</f>
        <v>43.7785696</v>
      </c>
      <c r="I41" s="28" t="str">
        <f>MID(Table1[[#This Row],[Centroid Coordinates]], 1+1, LEN(Table1[[#This Row],[Centroid Coordinates]]) - (1+13))</f>
        <v>-79.2570532</v>
      </c>
      <c r="J41" t="s">
        <v>360</v>
      </c>
      <c r="K41" t="s">
        <v>131</v>
      </c>
      <c r="L41" t="s">
        <v>340</v>
      </c>
      <c r="M41" t="s">
        <v>47</v>
      </c>
      <c r="N41">
        <v>21</v>
      </c>
      <c r="O41" t="s">
        <v>361</v>
      </c>
      <c r="P41" t="s">
        <v>300</v>
      </c>
      <c r="Q41" t="s">
        <v>133</v>
      </c>
      <c r="R41">
        <v>2016</v>
      </c>
      <c r="S41">
        <v>2024</v>
      </c>
      <c r="T41">
        <v>2024</v>
      </c>
      <c r="U41" t="s">
        <v>362</v>
      </c>
      <c r="V41" t="s">
        <v>50</v>
      </c>
      <c r="W41">
        <v>15500</v>
      </c>
      <c r="X41" t="s">
        <v>63</v>
      </c>
      <c r="Y41" t="s">
        <v>63</v>
      </c>
      <c r="Z41" t="s">
        <v>63</v>
      </c>
      <c r="AA41" t="s">
        <v>63</v>
      </c>
      <c r="AB41">
        <v>3.6</v>
      </c>
      <c r="AC41" t="s">
        <v>63</v>
      </c>
      <c r="AD41">
        <v>65</v>
      </c>
      <c r="AE41">
        <v>370004</v>
      </c>
      <c r="AF41" t="s">
        <v>363</v>
      </c>
      <c r="AG41" s="10" t="s">
        <v>364</v>
      </c>
      <c r="AH41" t="s">
        <v>365</v>
      </c>
    </row>
    <row r="42" spans="1:34" x14ac:dyDescent="0.25">
      <c r="A42" s="43">
        <v>18033</v>
      </c>
      <c r="B42" s="17" t="b">
        <v>1</v>
      </c>
      <c r="C42" s="19" t="s">
        <v>366</v>
      </c>
      <c r="D42" t="s">
        <v>367</v>
      </c>
      <c r="E42" t="s">
        <v>42</v>
      </c>
      <c r="F42" t="s">
        <v>295</v>
      </c>
      <c r="G42" s="28" t="s">
        <v>368</v>
      </c>
      <c r="H42" s="28" t="str">
        <f>MID(Table1[[#This Row],[Centroid Coordinates]], 14+1, LEN(Table1[[#This Row],[Centroid Coordinates]]) - (14+1))</f>
        <v>43.6580205</v>
      </c>
      <c r="I42" s="28" t="str">
        <f>MID(Table1[[#This Row],[Centroid Coordinates]], 1+1, LEN(Table1[[#This Row],[Centroid Coordinates]]) - (1+13))</f>
        <v>-79.4349648</v>
      </c>
      <c r="J42" t="s">
        <v>369</v>
      </c>
      <c r="K42" t="s">
        <v>370</v>
      </c>
      <c r="L42" t="s">
        <v>284</v>
      </c>
      <c r="M42" t="s">
        <v>188</v>
      </c>
      <c r="N42">
        <v>9</v>
      </c>
      <c r="O42" t="s">
        <v>371</v>
      </c>
      <c r="P42" s="19"/>
      <c r="Q42" s="19"/>
      <c r="R42" s="31">
        <v>2018</v>
      </c>
      <c r="S42" t="s">
        <v>104</v>
      </c>
      <c r="T42">
        <v>2021</v>
      </c>
      <c r="U42" t="s">
        <v>372</v>
      </c>
      <c r="V42" t="s">
        <v>373</v>
      </c>
      <c r="W42" s="31"/>
      <c r="X42" s="31"/>
      <c r="Y42" s="31"/>
      <c r="Z42" s="31"/>
      <c r="AA42" s="31"/>
      <c r="AB42">
        <v>6.54</v>
      </c>
      <c r="AC42" t="s">
        <v>374</v>
      </c>
      <c r="AD42" t="s">
        <v>375</v>
      </c>
      <c r="AE42">
        <v>15612</v>
      </c>
      <c r="AF42" s="31" t="s">
        <v>63</v>
      </c>
      <c r="AG42" s="10" t="s">
        <v>376</v>
      </c>
      <c r="AH42" t="s">
        <v>377</v>
      </c>
    </row>
    <row r="43" spans="1:34" x14ac:dyDescent="0.25">
      <c r="A43" s="43">
        <v>17132</v>
      </c>
      <c r="B43" s="17" t="b">
        <v>1</v>
      </c>
      <c r="C43" t="s">
        <v>378</v>
      </c>
      <c r="D43" t="s">
        <v>379</v>
      </c>
      <c r="E43" t="s">
        <v>42</v>
      </c>
      <c r="F43" t="s">
        <v>295</v>
      </c>
      <c r="G43" s="28" t="s">
        <v>380</v>
      </c>
      <c r="H43" s="28" t="str">
        <f>MID(Table1[[#This Row],[Centroid Coordinates]], 14+1, LEN(Table1[[#This Row],[Centroid Coordinates]]) - (14+1))</f>
        <v>43.7298366</v>
      </c>
      <c r="I43" s="28" t="str">
        <f>MID(Table1[[#This Row],[Centroid Coordinates]], 1+1, LEN(Table1[[#This Row],[Centroid Coordinates]]) - (1+13))</f>
        <v>-79.2808675</v>
      </c>
      <c r="J43" t="s">
        <v>381</v>
      </c>
      <c r="K43" t="s">
        <v>131</v>
      </c>
      <c r="L43" t="s">
        <v>284</v>
      </c>
      <c r="M43" t="s">
        <v>188</v>
      </c>
      <c r="N43">
        <v>21</v>
      </c>
      <c r="O43" t="s">
        <v>382</v>
      </c>
      <c r="P43" t="s">
        <v>178</v>
      </c>
      <c r="Q43" t="s">
        <v>61</v>
      </c>
      <c r="R43" s="31">
        <v>2017</v>
      </c>
      <c r="S43" s="31" t="s">
        <v>104</v>
      </c>
      <c r="T43">
        <v>2022</v>
      </c>
      <c r="U43" t="s">
        <v>372</v>
      </c>
      <c r="V43" t="s">
        <v>373</v>
      </c>
      <c r="W43" s="31"/>
      <c r="X43" s="31"/>
      <c r="Y43" s="31"/>
      <c r="Z43" s="31"/>
      <c r="AA43" s="31"/>
      <c r="AB43" s="31"/>
      <c r="AC43" s="31"/>
      <c r="AD43" s="31"/>
      <c r="AE43" s="31"/>
      <c r="AF43" s="31" t="s">
        <v>63</v>
      </c>
      <c r="AG43" s="10" t="s">
        <v>383</v>
      </c>
      <c r="AH43" t="s">
        <v>384</v>
      </c>
    </row>
    <row r="44" spans="1:34" x14ac:dyDescent="0.25">
      <c r="A44" s="43">
        <v>17067</v>
      </c>
      <c r="B44" s="17" t="b">
        <v>1</v>
      </c>
      <c r="C44" t="s">
        <v>385</v>
      </c>
      <c r="D44" t="s">
        <v>386</v>
      </c>
      <c r="E44" t="s">
        <v>387</v>
      </c>
      <c r="F44" t="s">
        <v>295</v>
      </c>
      <c r="G44" s="28" t="s">
        <v>388</v>
      </c>
      <c r="H44" s="28" t="str">
        <f>MID(Table1[[#This Row],[Centroid Coordinates]], 14+1, LEN(Table1[[#This Row],[Centroid Coordinates]]) - (14+1))</f>
        <v>43.6575252</v>
      </c>
      <c r="I44" s="28" t="str">
        <f>MID(Table1[[#This Row],[Centroid Coordinates]], 1+1, LEN(Table1[[#This Row],[Centroid Coordinates]]) - (1+13))</f>
        <v>-79.3857651</v>
      </c>
      <c r="J44" t="s">
        <v>389</v>
      </c>
      <c r="K44" t="s">
        <v>131</v>
      </c>
      <c r="L44" t="s">
        <v>390</v>
      </c>
      <c r="M44" t="s">
        <v>188</v>
      </c>
      <c r="N44">
        <v>11</v>
      </c>
      <c r="O44" t="s">
        <v>391</v>
      </c>
      <c r="P44" t="s">
        <v>286</v>
      </c>
      <c r="Q44" t="s">
        <v>157</v>
      </c>
      <c r="R44" s="31">
        <v>2017</v>
      </c>
      <c r="S44" s="31">
        <v>2018</v>
      </c>
      <c r="T44">
        <v>2018</v>
      </c>
      <c r="U44" t="s">
        <v>49</v>
      </c>
      <c r="V44" t="s">
        <v>50</v>
      </c>
      <c r="W44" t="s">
        <v>63</v>
      </c>
      <c r="X44" t="s">
        <v>63</v>
      </c>
      <c r="Y44" t="s">
        <v>63</v>
      </c>
      <c r="Z44">
        <v>46750</v>
      </c>
      <c r="AA44" s="31" t="s">
        <v>63</v>
      </c>
      <c r="AB44">
        <v>19.600000000000001</v>
      </c>
      <c r="AC44">
        <v>98.66</v>
      </c>
      <c r="AD44">
        <v>22</v>
      </c>
      <c r="AE44">
        <v>2293</v>
      </c>
      <c r="AF44" t="s">
        <v>392</v>
      </c>
      <c r="AG44" s="10" t="s">
        <v>393</v>
      </c>
      <c r="AH44" t="s">
        <v>394</v>
      </c>
    </row>
    <row r="45" spans="1:34" x14ac:dyDescent="0.25">
      <c r="A45" s="44">
        <v>16034</v>
      </c>
      <c r="B45" s="17" t="b">
        <v>1</v>
      </c>
      <c r="C45" t="s">
        <v>395</v>
      </c>
      <c r="D45" t="s">
        <v>396</v>
      </c>
      <c r="E45" t="s">
        <v>42</v>
      </c>
      <c r="F45" t="s">
        <v>295</v>
      </c>
      <c r="G45" s="28" t="s">
        <v>397</v>
      </c>
      <c r="H45" s="28" t="str">
        <f>MID(Table1[[#This Row],[Centroid Coordinates]], 14+1, LEN(Table1[[#This Row],[Centroid Coordinates]]) - (14+1))</f>
        <v>43.7774148</v>
      </c>
      <c r="I45" s="28" t="str">
        <f>MID(Table1[[#This Row],[Centroid Coordinates]], 1+1, LEN(Table1[[#This Row],[Centroid Coordinates]]) - (1+13))</f>
        <v>-79.2499983</v>
      </c>
      <c r="J45" t="s">
        <v>398</v>
      </c>
      <c r="K45" t="s">
        <v>141</v>
      </c>
      <c r="L45" t="s">
        <v>46</v>
      </c>
      <c r="M45" t="s">
        <v>47</v>
      </c>
      <c r="N45">
        <v>24</v>
      </c>
      <c r="O45" t="s">
        <v>399</v>
      </c>
      <c r="P45" t="s">
        <v>142</v>
      </c>
      <c r="Q45" t="s">
        <v>400</v>
      </c>
      <c r="R45">
        <v>2016</v>
      </c>
      <c r="S45" t="s">
        <v>104</v>
      </c>
      <c r="T45">
        <v>2025</v>
      </c>
      <c r="U45" t="s">
        <v>401</v>
      </c>
      <c r="V45" t="s">
        <v>234</v>
      </c>
      <c r="W45">
        <v>3203</v>
      </c>
      <c r="X45" t="s">
        <v>63</v>
      </c>
      <c r="Y45" t="s">
        <v>63</v>
      </c>
      <c r="Z45" t="s">
        <v>63</v>
      </c>
      <c r="AA45" t="s">
        <v>402</v>
      </c>
      <c r="AB45">
        <v>5.57</v>
      </c>
      <c r="AC45" t="s">
        <v>403</v>
      </c>
      <c r="AD45" t="s">
        <v>404</v>
      </c>
      <c r="AE45" t="s">
        <v>63</v>
      </c>
      <c r="AF45" t="s">
        <v>405</v>
      </c>
      <c r="AG45" s="10" t="s">
        <v>406</v>
      </c>
      <c r="AH45" t="s">
        <v>407</v>
      </c>
    </row>
    <row r="46" spans="1:34" x14ac:dyDescent="0.25">
      <c r="A46" s="44">
        <v>16034</v>
      </c>
      <c r="B46" s="17" t="b">
        <v>1</v>
      </c>
      <c r="C46" t="s">
        <v>395</v>
      </c>
      <c r="D46" t="s">
        <v>396</v>
      </c>
      <c r="E46" t="s">
        <v>42</v>
      </c>
      <c r="F46" t="s">
        <v>295</v>
      </c>
      <c r="G46" s="28" t="s">
        <v>408</v>
      </c>
      <c r="H46" s="28" t="str">
        <f>MID(Table1[[#This Row],[Centroid Coordinates]], 14+1, LEN(Table1[[#This Row],[Centroid Coordinates]]) - (14+1))</f>
        <v>43.7781023</v>
      </c>
      <c r="I46" s="28" t="str">
        <f>MID(Table1[[#This Row],[Centroid Coordinates]], 1+1, LEN(Table1[[#This Row],[Centroid Coordinates]]) - (1+13))</f>
        <v>-79.2487831</v>
      </c>
      <c r="J46" t="s">
        <v>409</v>
      </c>
      <c r="K46" t="s">
        <v>141</v>
      </c>
      <c r="L46" t="s">
        <v>46</v>
      </c>
      <c r="M46" t="s">
        <v>47</v>
      </c>
      <c r="N46">
        <v>24</v>
      </c>
      <c r="O46" t="s">
        <v>399</v>
      </c>
      <c r="P46" t="s">
        <v>142</v>
      </c>
      <c r="Q46" t="s">
        <v>400</v>
      </c>
      <c r="R46">
        <v>2016</v>
      </c>
      <c r="S46" t="s">
        <v>104</v>
      </c>
      <c r="T46">
        <v>2025</v>
      </c>
      <c r="U46" t="s">
        <v>401</v>
      </c>
      <c r="V46" t="s">
        <v>234</v>
      </c>
      <c r="W46">
        <v>3203</v>
      </c>
      <c r="X46" t="s">
        <v>63</v>
      </c>
      <c r="Y46" t="s">
        <v>63</v>
      </c>
      <c r="Z46" t="s">
        <v>63</v>
      </c>
      <c r="AA46" t="s">
        <v>402</v>
      </c>
      <c r="AB46">
        <v>5.57</v>
      </c>
      <c r="AC46" t="s">
        <v>403</v>
      </c>
      <c r="AD46" t="s">
        <v>404</v>
      </c>
      <c r="AE46" t="s">
        <v>63</v>
      </c>
      <c r="AF46" t="s">
        <v>405</v>
      </c>
      <c r="AG46" s="10" t="s">
        <v>410</v>
      </c>
      <c r="AH46" t="s">
        <v>407</v>
      </c>
    </row>
    <row r="47" spans="1:34" x14ac:dyDescent="0.25">
      <c r="A47" s="43">
        <v>18047</v>
      </c>
      <c r="B47" s="17" t="b">
        <v>1</v>
      </c>
      <c r="C47" s="31" t="s">
        <v>411</v>
      </c>
      <c r="D47" t="s">
        <v>412</v>
      </c>
      <c r="E47" t="s">
        <v>42</v>
      </c>
      <c r="F47" t="s">
        <v>295</v>
      </c>
      <c r="G47" s="31"/>
      <c r="H47" s="31" t="e">
        <f>MID(Table1[[#This Row],[Centroid Coordinates]], 14+1, LEN(Table1[[#This Row],[Centroid Coordinates]]) - (14+1))</f>
        <v>#VALUE!</v>
      </c>
      <c r="I47" s="31" t="e">
        <f>MID(Table1[[#This Row],[Centroid Coordinates]], 1+1, LEN(Table1[[#This Row],[Centroid Coordinates]]) - (1+13))</f>
        <v>#VALUE!</v>
      </c>
      <c r="J47" s="31" t="s">
        <v>413</v>
      </c>
      <c r="K47" t="s">
        <v>141</v>
      </c>
      <c r="L47" t="s">
        <v>46</v>
      </c>
      <c r="M47" t="s">
        <v>188</v>
      </c>
      <c r="N47">
        <v>10</v>
      </c>
      <c r="O47" t="s">
        <v>178</v>
      </c>
      <c r="P47" s="19"/>
      <c r="Q47" s="19"/>
      <c r="R47" s="31">
        <v>2018</v>
      </c>
      <c r="S47" s="31" t="s">
        <v>104</v>
      </c>
      <c r="T47">
        <v>2020</v>
      </c>
      <c r="U47" t="s">
        <v>414</v>
      </c>
      <c r="V47" t="s">
        <v>234</v>
      </c>
      <c r="W47" s="31"/>
      <c r="X47" s="31"/>
      <c r="Y47" s="31"/>
      <c r="Z47" s="31"/>
      <c r="AA47" s="31"/>
      <c r="AB47" s="31"/>
      <c r="AC47" s="31"/>
      <c r="AD47" t="s">
        <v>415</v>
      </c>
      <c r="AE47" s="31"/>
      <c r="AH47" t="s">
        <v>268</v>
      </c>
    </row>
    <row r="48" spans="1:34" x14ac:dyDescent="0.25">
      <c r="A48" s="43">
        <v>20002</v>
      </c>
      <c r="B48" s="17" t="b">
        <v>1</v>
      </c>
      <c r="C48" s="31" t="s">
        <v>416</v>
      </c>
      <c r="D48" t="s">
        <v>280</v>
      </c>
      <c r="E48" t="s">
        <v>42</v>
      </c>
      <c r="F48" t="s">
        <v>295</v>
      </c>
      <c r="G48" s="31"/>
      <c r="H48" s="31" t="e">
        <f>MID(Table1[[#This Row],[Centroid Coordinates]], 14+1, LEN(Table1[[#This Row],[Centroid Coordinates]]) - (14+1))</f>
        <v>#VALUE!</v>
      </c>
      <c r="I48" s="31" t="e">
        <f>MID(Table1[[#This Row],[Centroid Coordinates]], 1+1, LEN(Table1[[#This Row],[Centroid Coordinates]]) - (1+13))</f>
        <v>#VALUE!</v>
      </c>
      <c r="J48" s="31" t="s">
        <v>417</v>
      </c>
      <c r="K48" t="s">
        <v>131</v>
      </c>
      <c r="L48" t="s">
        <v>418</v>
      </c>
      <c r="M48" t="s">
        <v>188</v>
      </c>
      <c r="N48" s="11">
        <v>14</v>
      </c>
      <c r="O48" t="s">
        <v>419</v>
      </c>
      <c r="P48" t="s">
        <v>178</v>
      </c>
      <c r="Q48" t="s">
        <v>420</v>
      </c>
      <c r="R48" s="31">
        <v>2017</v>
      </c>
      <c r="S48">
        <v>2022</v>
      </c>
      <c r="T48">
        <v>2022</v>
      </c>
      <c r="U48" t="s">
        <v>421</v>
      </c>
      <c r="V48" t="s">
        <v>50</v>
      </c>
      <c r="W48" s="31"/>
      <c r="X48" s="31"/>
      <c r="Y48" s="31"/>
      <c r="Z48" s="31"/>
      <c r="AA48" s="31"/>
      <c r="AB48" s="31"/>
      <c r="AC48" s="31"/>
      <c r="AD48" s="31"/>
      <c r="AE48" s="31"/>
      <c r="AG48" s="10" t="s">
        <v>422</v>
      </c>
      <c r="AH48" t="s">
        <v>423</v>
      </c>
    </row>
    <row r="49" spans="1:34" x14ac:dyDescent="0.25">
      <c r="A49" s="43">
        <v>16046</v>
      </c>
      <c r="B49" s="17" t="b">
        <v>1</v>
      </c>
      <c r="C49" t="s">
        <v>424</v>
      </c>
      <c r="D49" t="s">
        <v>425</v>
      </c>
      <c r="E49" t="s">
        <v>42</v>
      </c>
      <c r="F49" t="s">
        <v>295</v>
      </c>
      <c r="G49" s="28" t="s">
        <v>426</v>
      </c>
      <c r="H49" s="28" t="str">
        <f>MID(Table1[[#This Row],[Centroid Coordinates]], 14+1, LEN(Table1[[#This Row],[Centroid Coordinates]]) - (14+1))</f>
        <v>43.6471064</v>
      </c>
      <c r="I49" s="28" t="str">
        <f>MID(Table1[[#This Row],[Centroid Coordinates]], 1+1, LEN(Table1[[#This Row],[Centroid Coordinates]]) - (1+13))</f>
        <v>-79.3994334</v>
      </c>
      <c r="J49" t="s">
        <v>427</v>
      </c>
      <c r="K49" t="s">
        <v>141</v>
      </c>
      <c r="L49" t="s">
        <v>46</v>
      </c>
      <c r="M49" t="s">
        <v>188</v>
      </c>
      <c r="N49" s="11">
        <v>10</v>
      </c>
      <c r="O49" t="s">
        <v>231</v>
      </c>
      <c r="P49" s="19"/>
      <c r="Q49" s="19"/>
      <c r="R49">
        <v>2016</v>
      </c>
      <c r="S49">
        <v>2017</v>
      </c>
      <c r="T49" s="11">
        <v>2017</v>
      </c>
      <c r="U49" t="s">
        <v>428</v>
      </c>
      <c r="V49" t="s">
        <v>50</v>
      </c>
      <c r="W49">
        <v>288</v>
      </c>
      <c r="X49">
        <v>0</v>
      </c>
      <c r="Y49">
        <v>0</v>
      </c>
      <c r="Z49">
        <v>8000</v>
      </c>
      <c r="AA49" t="s">
        <v>63</v>
      </c>
      <c r="AB49">
        <v>6.09</v>
      </c>
      <c r="AC49">
        <v>53.5</v>
      </c>
      <c r="AD49">
        <v>13</v>
      </c>
      <c r="AE49">
        <v>5174</v>
      </c>
      <c r="AF49" t="s">
        <v>429</v>
      </c>
      <c r="AG49" s="10" t="s">
        <v>430</v>
      </c>
      <c r="AH49" t="s">
        <v>431</v>
      </c>
    </row>
    <row r="50" spans="1:34" x14ac:dyDescent="0.25">
      <c r="A50" s="43">
        <v>13049</v>
      </c>
      <c r="B50" s="17" t="b">
        <v>1</v>
      </c>
      <c r="C50" t="s">
        <v>432</v>
      </c>
      <c r="D50" t="s">
        <v>433</v>
      </c>
      <c r="E50" t="s">
        <v>42</v>
      </c>
      <c r="F50" t="s">
        <v>295</v>
      </c>
      <c r="G50" s="28" t="s">
        <v>434</v>
      </c>
      <c r="H50" s="28" t="str">
        <f>MID(Table1[[#This Row],[Centroid Coordinates]], 14+1, LEN(Table1[[#This Row],[Centroid Coordinates]]) - (14+1))</f>
        <v>43.6646854</v>
      </c>
      <c r="I50" s="28" t="str">
        <f>MID(Table1[[#This Row],[Centroid Coordinates]], 1+1, LEN(Table1[[#This Row],[Centroid Coordinates]]) - (1+13))</f>
        <v>-79.4120596</v>
      </c>
      <c r="J50" t="s">
        <v>435</v>
      </c>
      <c r="K50" t="s">
        <v>436</v>
      </c>
      <c r="L50" t="s">
        <v>284</v>
      </c>
      <c r="M50" t="s">
        <v>188</v>
      </c>
      <c r="N50" s="11">
        <v>10</v>
      </c>
      <c r="O50" t="s">
        <v>437</v>
      </c>
      <c r="P50" s="19"/>
      <c r="Q50" s="19"/>
      <c r="R50">
        <v>2014</v>
      </c>
      <c r="S50">
        <v>2017</v>
      </c>
      <c r="T50" s="11">
        <v>2017</v>
      </c>
      <c r="U50" t="s">
        <v>49</v>
      </c>
      <c r="V50" t="s">
        <v>50</v>
      </c>
      <c r="W50">
        <v>806</v>
      </c>
      <c r="X50">
        <v>7.44</v>
      </c>
      <c r="Y50">
        <v>60</v>
      </c>
      <c r="Z50" t="s">
        <v>63</v>
      </c>
      <c r="AA50" t="s">
        <v>63</v>
      </c>
      <c r="AB50">
        <v>5.33</v>
      </c>
      <c r="AC50" t="s">
        <v>438</v>
      </c>
      <c r="AD50" t="s">
        <v>439</v>
      </c>
      <c r="AE50">
        <v>14172</v>
      </c>
      <c r="AF50" t="s">
        <v>440</v>
      </c>
      <c r="AG50" s="10" t="s">
        <v>441</v>
      </c>
      <c r="AH50" t="s">
        <v>442</v>
      </c>
    </row>
    <row r="51" spans="1:34" x14ac:dyDescent="0.25">
      <c r="A51" s="43">
        <v>10079</v>
      </c>
      <c r="B51" s="17" t="b">
        <v>1</v>
      </c>
      <c r="C51" t="s">
        <v>443</v>
      </c>
      <c r="D51" t="s">
        <v>444</v>
      </c>
      <c r="E51" t="s">
        <v>42</v>
      </c>
      <c r="F51" t="s">
        <v>295</v>
      </c>
      <c r="G51" s="28" t="s">
        <v>445</v>
      </c>
      <c r="H51" s="28" t="str">
        <f>MID(Table1[[#This Row],[Centroid Coordinates]], 14+1, LEN(Table1[[#This Row],[Centroid Coordinates]]) - (14+1))</f>
        <v>43.6546126</v>
      </c>
      <c r="I51" s="28" t="str">
        <f>MID(Table1[[#This Row],[Centroid Coordinates]], 1+1, LEN(Table1[[#This Row],[Centroid Coordinates]]) - (1+13))</f>
        <v>-79.4452017</v>
      </c>
      <c r="J51" s="11" t="s">
        <v>446</v>
      </c>
      <c r="K51" t="s">
        <v>141</v>
      </c>
      <c r="L51" t="s">
        <v>284</v>
      </c>
      <c r="M51" t="s">
        <v>47</v>
      </c>
      <c r="N51">
        <v>9</v>
      </c>
      <c r="O51" t="s">
        <v>114</v>
      </c>
      <c r="P51" s="19"/>
      <c r="Q51" s="19"/>
      <c r="R51">
        <v>2010</v>
      </c>
      <c r="S51">
        <v>2025</v>
      </c>
      <c r="T51">
        <v>2025</v>
      </c>
      <c r="U51" t="s">
        <v>49</v>
      </c>
      <c r="V51" t="s">
        <v>50</v>
      </c>
      <c r="W51">
        <v>737</v>
      </c>
      <c r="X51">
        <v>1.0900000000000001</v>
      </c>
      <c r="Y51">
        <v>8</v>
      </c>
      <c r="Z51">
        <v>1500</v>
      </c>
      <c r="AA51">
        <v>1250</v>
      </c>
      <c r="AB51" t="s">
        <v>447</v>
      </c>
      <c r="AC51">
        <v>99</v>
      </c>
      <c r="AD51">
        <v>31</v>
      </c>
      <c r="AE51">
        <v>4774</v>
      </c>
      <c r="AF51" t="s">
        <v>448</v>
      </c>
      <c r="AG51" s="10" t="s">
        <v>449</v>
      </c>
      <c r="AH51" t="s">
        <v>442</v>
      </c>
    </row>
    <row r="52" spans="1:34" x14ac:dyDescent="0.25">
      <c r="A52" s="43">
        <v>14004</v>
      </c>
      <c r="B52" s="17" t="b">
        <v>1</v>
      </c>
      <c r="C52" s="9" t="s">
        <v>450</v>
      </c>
      <c r="D52" t="s">
        <v>451</v>
      </c>
      <c r="E52" t="s">
        <v>452</v>
      </c>
      <c r="F52" t="s">
        <v>43</v>
      </c>
      <c r="G52" s="28" t="s">
        <v>453</v>
      </c>
      <c r="H52" s="28" t="str">
        <f>MID(Table1[[#This Row],[Centroid Coordinates]], 14+1, LEN(Table1[[#This Row],[Centroid Coordinates]]) - (14+1))</f>
        <v>43.7232253</v>
      </c>
      <c r="I52" s="28" t="str">
        <f>MID(Table1[[#This Row],[Centroid Coordinates]], 1+1, LEN(Table1[[#This Row],[Centroid Coordinates]]) - (1+13))</f>
        <v>-79.3407175</v>
      </c>
      <c r="J52" t="s">
        <v>454</v>
      </c>
      <c r="K52" t="s">
        <v>229</v>
      </c>
      <c r="L52" t="s">
        <v>284</v>
      </c>
      <c r="M52" t="s">
        <v>188</v>
      </c>
      <c r="N52">
        <v>16</v>
      </c>
      <c r="O52" s="9"/>
      <c r="P52" s="9"/>
      <c r="Q52" s="9"/>
      <c r="R52" t="s">
        <v>48</v>
      </c>
      <c r="S52" t="s">
        <v>63</v>
      </c>
      <c r="T52" t="s">
        <v>455</v>
      </c>
      <c r="U52" t="s">
        <v>456</v>
      </c>
      <c r="V52" t="s">
        <v>234</v>
      </c>
      <c r="W52">
        <v>4921</v>
      </c>
      <c r="X52" t="s">
        <v>63</v>
      </c>
      <c r="Y52" t="s">
        <v>63</v>
      </c>
      <c r="Z52" t="s">
        <v>63</v>
      </c>
      <c r="AA52" t="s">
        <v>63</v>
      </c>
      <c r="AB52" s="19">
        <v>2.31</v>
      </c>
      <c r="AC52" s="19">
        <v>147</v>
      </c>
      <c r="AD52" s="19">
        <v>48</v>
      </c>
      <c r="AE52" s="19">
        <v>244240</v>
      </c>
      <c r="AF52" t="s">
        <v>457</v>
      </c>
      <c r="AG52" s="10" t="s">
        <v>458</v>
      </c>
      <c r="AH52" s="9" t="s">
        <v>459</v>
      </c>
    </row>
    <row r="53" spans="1:34" x14ac:dyDescent="0.25">
      <c r="A53" s="43">
        <v>15066</v>
      </c>
      <c r="B53" s="17" t="b">
        <v>1</v>
      </c>
      <c r="C53" t="s">
        <v>460</v>
      </c>
      <c r="D53" t="s">
        <v>461</v>
      </c>
      <c r="E53" t="s">
        <v>42</v>
      </c>
      <c r="F53" t="s">
        <v>295</v>
      </c>
      <c r="G53" s="28" t="s">
        <v>462</v>
      </c>
      <c r="H53" s="28" t="str">
        <f>MID(Table1[[#This Row],[Centroid Coordinates]], 14+1, LEN(Table1[[#This Row],[Centroid Coordinates]]) - (14+1))</f>
        <v>43.6677361</v>
      </c>
      <c r="I53" s="28" t="str">
        <f>MID(Table1[[#This Row],[Centroid Coordinates]], 1+1, LEN(Table1[[#This Row],[Centroid Coordinates]]) - (1+13))</f>
        <v>-79.4410701</v>
      </c>
      <c r="J53" t="s">
        <v>463</v>
      </c>
      <c r="K53" t="s">
        <v>229</v>
      </c>
      <c r="L53" t="s">
        <v>242</v>
      </c>
      <c r="M53" t="s">
        <v>188</v>
      </c>
      <c r="N53">
        <v>9</v>
      </c>
      <c r="O53" t="s">
        <v>464</v>
      </c>
      <c r="P53" t="s">
        <v>231</v>
      </c>
      <c r="Q53" t="s">
        <v>420</v>
      </c>
      <c r="R53" s="31">
        <v>2015</v>
      </c>
      <c r="S53" s="31" t="s">
        <v>104</v>
      </c>
      <c r="T53" t="s">
        <v>465</v>
      </c>
      <c r="U53" t="s">
        <v>466</v>
      </c>
      <c r="V53" t="s">
        <v>234</v>
      </c>
      <c r="W53" s="31"/>
      <c r="X53" s="31"/>
      <c r="Y53" s="31"/>
      <c r="Z53" s="31"/>
      <c r="AA53" s="31"/>
      <c r="AB53" s="31"/>
      <c r="AC53" s="31"/>
      <c r="AD53">
        <v>31</v>
      </c>
      <c r="AE53" s="31"/>
      <c r="AF53" t="s">
        <v>467</v>
      </c>
      <c r="AG53" s="10" t="s">
        <v>468</v>
      </c>
      <c r="AH53" t="s">
        <v>469</v>
      </c>
    </row>
    <row r="54" spans="1:34" x14ac:dyDescent="0.25">
      <c r="A54" s="43">
        <v>10042</v>
      </c>
      <c r="B54" s="17" t="b">
        <v>1</v>
      </c>
      <c r="C54" t="s">
        <v>470</v>
      </c>
      <c r="D54" t="s">
        <v>471</v>
      </c>
      <c r="E54" t="s">
        <v>42</v>
      </c>
      <c r="F54" t="s">
        <v>295</v>
      </c>
      <c r="G54" s="28" t="s">
        <v>472</v>
      </c>
      <c r="H54" s="28" t="str">
        <f>MID(Table1[[#This Row],[Centroid Coordinates]], 14+1, LEN(Table1[[#This Row],[Centroid Coordinates]]) - (14+1))</f>
        <v>43.7254565</v>
      </c>
      <c r="I54" s="28" t="str">
        <f>MID(Table1[[#This Row],[Centroid Coordinates]], 1+1, LEN(Table1[[#This Row],[Centroid Coordinates]]) - (1+13))</f>
        <v>-79.4529083</v>
      </c>
      <c r="J54" t="s">
        <v>473</v>
      </c>
      <c r="K54" t="s">
        <v>141</v>
      </c>
      <c r="L54" t="s">
        <v>474</v>
      </c>
      <c r="M54" t="s">
        <v>188</v>
      </c>
      <c r="N54">
        <v>8</v>
      </c>
      <c r="O54" t="s">
        <v>475</v>
      </c>
      <c r="P54" t="s">
        <v>143</v>
      </c>
      <c r="Q54" t="s">
        <v>287</v>
      </c>
      <c r="R54" s="31">
        <v>2010</v>
      </c>
      <c r="S54" s="31" t="s">
        <v>104</v>
      </c>
      <c r="T54">
        <v>2023</v>
      </c>
      <c r="U54" t="s">
        <v>476</v>
      </c>
      <c r="V54" t="s">
        <v>373</v>
      </c>
      <c r="W54" s="31"/>
      <c r="X54" s="31"/>
      <c r="Y54" s="31"/>
      <c r="Z54" s="31"/>
      <c r="AA54" s="31"/>
      <c r="AB54" s="31"/>
      <c r="AC54" s="31"/>
      <c r="AD54" s="31"/>
      <c r="AE54" s="31"/>
      <c r="AF54" t="s">
        <v>477</v>
      </c>
      <c r="AG54" s="10" t="s">
        <v>478</v>
      </c>
      <c r="AH54" t="s">
        <v>479</v>
      </c>
    </row>
    <row r="55" spans="1:34" x14ac:dyDescent="0.25">
      <c r="A55" s="46" t="s">
        <v>480</v>
      </c>
      <c r="B55" s="17" t="b">
        <v>1</v>
      </c>
      <c r="C55" t="s">
        <v>481</v>
      </c>
      <c r="D55" t="s">
        <v>482</v>
      </c>
      <c r="E55" t="s">
        <v>483</v>
      </c>
      <c r="F55" t="s">
        <v>295</v>
      </c>
      <c r="G55" s="28" t="s">
        <v>484</v>
      </c>
      <c r="H55" s="28" t="str">
        <f>MID(Table1[[#This Row],[Centroid Coordinates]], 14+1, LEN(Table1[[#This Row],[Centroid Coordinates]]) - (14+1))</f>
        <v>43.6450184</v>
      </c>
      <c r="I55" s="28" t="str">
        <f>MID(Table1[[#This Row],[Centroid Coordinates]], 1+1, LEN(Table1[[#This Row],[Centroid Coordinates]]) - (1+13))</f>
        <v>-79.3774342</v>
      </c>
      <c r="J55" t="s">
        <v>485</v>
      </c>
      <c r="K55" t="s">
        <v>229</v>
      </c>
      <c r="L55" t="s">
        <v>474</v>
      </c>
      <c r="M55" t="s">
        <v>47</v>
      </c>
      <c r="N55">
        <v>10</v>
      </c>
      <c r="O55" t="s">
        <v>486</v>
      </c>
      <c r="P55" s="9"/>
      <c r="Q55" s="9"/>
      <c r="R55">
        <v>2007</v>
      </c>
      <c r="S55">
        <v>2016</v>
      </c>
      <c r="T55">
        <v>2016</v>
      </c>
      <c r="U55" t="s">
        <v>62</v>
      </c>
      <c r="V55" t="s">
        <v>50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>
        <v>6</v>
      </c>
      <c r="AC55">
        <v>243</v>
      </c>
      <c r="AD55">
        <v>53</v>
      </c>
      <c r="AE55">
        <v>22520</v>
      </c>
      <c r="AF55" t="s">
        <v>487</v>
      </c>
      <c r="AG55" s="10" t="s">
        <v>488</v>
      </c>
      <c r="AH55" t="s">
        <v>489</v>
      </c>
    </row>
    <row r="56" spans="1:34" x14ac:dyDescent="0.25">
      <c r="A56" s="46" t="s">
        <v>490</v>
      </c>
      <c r="B56" s="17" t="b">
        <v>1</v>
      </c>
      <c r="C56" t="s">
        <v>491</v>
      </c>
      <c r="D56" t="s">
        <v>492</v>
      </c>
      <c r="E56" t="s">
        <v>493</v>
      </c>
      <c r="F56" t="s">
        <v>295</v>
      </c>
      <c r="G56" s="28" t="s">
        <v>494</v>
      </c>
      <c r="H56" s="28" t="str">
        <f>MID(Table1[[#This Row],[Centroid Coordinates]], 14+1, LEN(Table1[[#This Row],[Centroid Coordinates]]) - (14+1))</f>
        <v>43.6521783</v>
      </c>
      <c r="I56" s="28" t="str">
        <f>MID(Table1[[#This Row],[Centroid Coordinates]], 1+1, LEN(Table1[[#This Row],[Centroid Coordinates]]) - (1+13))</f>
        <v>-79.4001077</v>
      </c>
      <c r="J56" t="s">
        <v>495</v>
      </c>
      <c r="K56" t="s">
        <v>496</v>
      </c>
      <c r="L56" t="s">
        <v>58</v>
      </c>
      <c r="M56" t="s">
        <v>47</v>
      </c>
      <c r="N56">
        <v>10</v>
      </c>
      <c r="O56" t="s">
        <v>497</v>
      </c>
      <c r="P56" t="s">
        <v>263</v>
      </c>
      <c r="Q56" s="19" t="s">
        <v>498</v>
      </c>
      <c r="R56">
        <v>2009</v>
      </c>
      <c r="S56">
        <v>2020</v>
      </c>
      <c r="T56">
        <v>2020</v>
      </c>
      <c r="U56" t="s">
        <v>49</v>
      </c>
      <c r="V56" t="s">
        <v>50</v>
      </c>
      <c r="W56" s="31"/>
      <c r="X56">
        <v>0</v>
      </c>
      <c r="Y56">
        <v>0</v>
      </c>
      <c r="Z56">
        <v>4100</v>
      </c>
      <c r="AA56" t="s">
        <v>63</v>
      </c>
      <c r="AB56">
        <v>3.04</v>
      </c>
      <c r="AC56" t="s">
        <v>499</v>
      </c>
      <c r="AD56" t="s">
        <v>500</v>
      </c>
      <c r="AE56">
        <v>59400</v>
      </c>
      <c r="AF56" t="s">
        <v>501</v>
      </c>
      <c r="AG56" s="10" t="s">
        <v>502</v>
      </c>
      <c r="AH56" t="s">
        <v>503</v>
      </c>
    </row>
    <row r="57" spans="1:34" x14ac:dyDescent="0.25">
      <c r="A57" s="43">
        <v>18117</v>
      </c>
      <c r="B57" s="17" t="b">
        <v>1</v>
      </c>
      <c r="C57" t="s">
        <v>504</v>
      </c>
      <c r="D57" t="s">
        <v>505</v>
      </c>
      <c r="E57" t="s">
        <v>42</v>
      </c>
      <c r="F57" t="s">
        <v>295</v>
      </c>
      <c r="G57" s="28" t="s">
        <v>506</v>
      </c>
      <c r="H57" s="28" t="str">
        <f>MID(Table1[[#This Row],[Centroid Coordinates]], 14+1, LEN(Table1[[#This Row],[Centroid Coordinates]]) - (14+1))</f>
        <v>43.6267155</v>
      </c>
      <c r="I57" s="28" t="str">
        <f>MID(Table1[[#This Row],[Centroid Coordinates]], 1+1, LEN(Table1[[#This Row],[Centroid Coordinates]]) - (1+13))</f>
        <v>-79.4999789</v>
      </c>
      <c r="J57" t="s">
        <v>507</v>
      </c>
      <c r="K57" t="s">
        <v>508</v>
      </c>
      <c r="L57" t="s">
        <v>509</v>
      </c>
      <c r="M57" t="s">
        <v>188</v>
      </c>
      <c r="N57">
        <v>3</v>
      </c>
      <c r="O57" t="s">
        <v>114</v>
      </c>
      <c r="P57" s="31"/>
      <c r="Q57" s="31"/>
      <c r="R57">
        <v>2019</v>
      </c>
      <c r="S57">
        <v>2021</v>
      </c>
      <c r="T57">
        <v>2020</v>
      </c>
      <c r="U57" t="s">
        <v>62</v>
      </c>
      <c r="V57" t="s">
        <v>50</v>
      </c>
      <c r="W57">
        <v>198</v>
      </c>
      <c r="X57">
        <v>0</v>
      </c>
      <c r="Y57">
        <v>0</v>
      </c>
      <c r="Z57" t="s">
        <v>63</v>
      </c>
      <c r="AA57">
        <v>500</v>
      </c>
      <c r="AB57">
        <v>4.25</v>
      </c>
      <c r="AC57">
        <v>30.95</v>
      </c>
      <c r="AD57">
        <v>9</v>
      </c>
      <c r="AE57">
        <v>4033</v>
      </c>
      <c r="AF57" t="s">
        <v>510</v>
      </c>
      <c r="AG57" s="10" t="s">
        <v>511</v>
      </c>
      <c r="AH57" t="s">
        <v>184</v>
      </c>
    </row>
    <row r="58" spans="1:34" x14ac:dyDescent="0.25">
      <c r="A58" s="43">
        <v>19012</v>
      </c>
      <c r="B58" s="17" t="b">
        <v>1</v>
      </c>
      <c r="C58" t="s">
        <v>512</v>
      </c>
      <c r="D58" t="s">
        <v>513</v>
      </c>
      <c r="E58" t="s">
        <v>42</v>
      </c>
      <c r="F58" t="s">
        <v>295</v>
      </c>
      <c r="G58" s="28" t="s">
        <v>514</v>
      </c>
      <c r="H58" s="28" t="str">
        <f>MID(Table1[[#This Row],[Centroid Coordinates]], 14+1, LEN(Table1[[#This Row],[Centroid Coordinates]]) - (14+1))</f>
        <v>43.6369546</v>
      </c>
      <c r="I58" s="28" t="str">
        <f>MID(Table1[[#This Row],[Centroid Coordinates]], 1+1, LEN(Table1[[#This Row],[Centroid Coordinates]]) - (1+13))</f>
        <v>-79.4235240</v>
      </c>
      <c r="J58" t="s">
        <v>515</v>
      </c>
      <c r="K58" t="s">
        <v>141</v>
      </c>
      <c r="L58" t="s">
        <v>516</v>
      </c>
      <c r="M58" t="s">
        <v>188</v>
      </c>
      <c r="N58">
        <v>10</v>
      </c>
      <c r="O58" s="19"/>
      <c r="P58" s="31"/>
      <c r="Q58" s="31"/>
      <c r="R58" s="31">
        <v>2019</v>
      </c>
      <c r="S58" s="31">
        <v>2023</v>
      </c>
      <c r="T58">
        <v>2023</v>
      </c>
      <c r="U58" t="s">
        <v>62</v>
      </c>
      <c r="V58" t="s">
        <v>50</v>
      </c>
      <c r="W58" s="31"/>
      <c r="X58" s="31"/>
      <c r="Y58" s="31"/>
      <c r="Z58" s="31"/>
      <c r="AA58" s="31"/>
      <c r="AB58">
        <v>5.97</v>
      </c>
      <c r="AC58" t="s">
        <v>517</v>
      </c>
      <c r="AD58" t="s">
        <v>518</v>
      </c>
      <c r="AE58">
        <v>7915</v>
      </c>
      <c r="AF58" t="s">
        <v>519</v>
      </c>
      <c r="AG58" s="10" t="s">
        <v>520</v>
      </c>
      <c r="AH58" t="s">
        <v>521</v>
      </c>
    </row>
    <row r="59" spans="1:34" x14ac:dyDescent="0.25">
      <c r="A59" s="43">
        <v>19067</v>
      </c>
      <c r="B59" s="17" t="b">
        <v>1</v>
      </c>
      <c r="C59" t="s">
        <v>522</v>
      </c>
      <c r="D59" t="s">
        <v>523</v>
      </c>
      <c r="E59" t="s">
        <v>42</v>
      </c>
      <c r="F59" t="s">
        <v>295</v>
      </c>
      <c r="G59" s="31"/>
      <c r="H59" s="31" t="e">
        <f>MID(Table1[[#This Row],[Centroid Coordinates]], 14+1, LEN(Table1[[#This Row],[Centroid Coordinates]]) - (14+1))</f>
        <v>#VALUE!</v>
      </c>
      <c r="I59" s="31" t="e">
        <f>MID(Table1[[#This Row],[Centroid Coordinates]], 1+1, LEN(Table1[[#This Row],[Centroid Coordinates]]) - (1+13))</f>
        <v>#VALUE!</v>
      </c>
      <c r="J59" s="31" t="s">
        <v>524</v>
      </c>
      <c r="K59" t="s">
        <v>525</v>
      </c>
      <c r="M59" t="s">
        <v>188</v>
      </c>
      <c r="N59">
        <v>14</v>
      </c>
      <c r="O59" t="s">
        <v>122</v>
      </c>
      <c r="P59" t="s">
        <v>122</v>
      </c>
      <c r="Q59" t="s">
        <v>122</v>
      </c>
      <c r="R59" s="19">
        <v>2019</v>
      </c>
      <c r="S59">
        <v>2024</v>
      </c>
      <c r="T59">
        <v>2022</v>
      </c>
      <c r="U59" t="s">
        <v>49</v>
      </c>
      <c r="V59" t="s">
        <v>524</v>
      </c>
      <c r="W59" s="19"/>
      <c r="X59" s="19"/>
      <c r="Y59" s="19"/>
      <c r="Z59" s="19"/>
      <c r="AA59" s="19"/>
      <c r="AB59" s="19"/>
      <c r="AC59" s="19"/>
      <c r="AD59" s="19"/>
      <c r="AE59" s="19"/>
      <c r="AF59" t="s">
        <v>526</v>
      </c>
      <c r="AG59" s="10" t="s">
        <v>527</v>
      </c>
      <c r="AH59" t="s">
        <v>528</v>
      </c>
    </row>
    <row r="60" spans="1:34" x14ac:dyDescent="0.25">
      <c r="A60" s="43">
        <v>20016</v>
      </c>
      <c r="B60" s="17" t="b">
        <v>1</v>
      </c>
      <c r="C60" t="s">
        <v>529</v>
      </c>
      <c r="D60" t="s">
        <v>280</v>
      </c>
      <c r="E60" t="s">
        <v>42</v>
      </c>
      <c r="F60" t="s">
        <v>295</v>
      </c>
      <c r="G60" s="28" t="s">
        <v>530</v>
      </c>
      <c r="H60" s="28" t="str">
        <f>MID(Table1[[#This Row],[Centroid Coordinates]], 14+1, LEN(Table1[[#This Row],[Centroid Coordinates]]) - (14+1))</f>
        <v>43.6118216</v>
      </c>
      <c r="I60" s="28" t="str">
        <f>MID(Table1[[#This Row],[Centroid Coordinates]], 1+1, LEN(Table1[[#This Row],[Centroid Coordinates]]) - (1+13))</f>
        <v>-79.5571424</v>
      </c>
      <c r="J60" t="s">
        <v>531</v>
      </c>
      <c r="K60" t="s">
        <v>131</v>
      </c>
      <c r="L60" t="s">
        <v>46</v>
      </c>
      <c r="M60" t="s">
        <v>188</v>
      </c>
      <c r="N60">
        <v>3</v>
      </c>
      <c r="O60" t="s">
        <v>532</v>
      </c>
      <c r="P60" t="s">
        <v>60</v>
      </c>
      <c r="Q60" t="s">
        <v>61</v>
      </c>
      <c r="R60" s="19">
        <v>2020</v>
      </c>
      <c r="S60" s="19">
        <v>2019</v>
      </c>
      <c r="T60">
        <v>2019</v>
      </c>
      <c r="U60" t="s">
        <v>476</v>
      </c>
      <c r="V60" t="s">
        <v>50</v>
      </c>
      <c r="W60" s="19"/>
      <c r="X60" s="19"/>
      <c r="Y60" s="19"/>
      <c r="Z60" s="19"/>
      <c r="AA60" s="19"/>
      <c r="AB60" s="19"/>
      <c r="AC60" s="19"/>
      <c r="AD60" s="19"/>
      <c r="AE60" s="19"/>
      <c r="AF60" t="s">
        <v>533</v>
      </c>
      <c r="AG60" s="10" t="s">
        <v>534</v>
      </c>
      <c r="AH60" t="s">
        <v>535</v>
      </c>
    </row>
    <row r="61" spans="1:34" x14ac:dyDescent="0.25">
      <c r="A61" s="43">
        <v>21036</v>
      </c>
      <c r="B61" s="17" t="b">
        <v>1</v>
      </c>
      <c r="C61" t="s">
        <v>536</v>
      </c>
      <c r="D61" t="s">
        <v>537</v>
      </c>
      <c r="E61" t="s">
        <v>538</v>
      </c>
      <c r="F61" t="s">
        <v>295</v>
      </c>
      <c r="G61" s="28" t="s">
        <v>539</v>
      </c>
      <c r="H61" s="28" t="str">
        <f>MID(Table1[[#This Row],[Centroid Coordinates]], 14+1, LEN(Table1[[#This Row],[Centroid Coordinates]]) - (14+1))</f>
        <v>43.7801304</v>
      </c>
      <c r="I61" s="28" t="str">
        <f>MID(Table1[[#This Row],[Centroid Coordinates]], 1+1, LEN(Table1[[#This Row],[Centroid Coordinates]]) - (1+13))</f>
        <v>-79.2051908</v>
      </c>
      <c r="J61" t="s">
        <v>540</v>
      </c>
      <c r="K61" t="s">
        <v>541</v>
      </c>
      <c r="L61" t="s">
        <v>390</v>
      </c>
      <c r="M61" t="s">
        <v>188</v>
      </c>
      <c r="N61">
        <v>21</v>
      </c>
      <c r="O61" t="s">
        <v>542</v>
      </c>
      <c r="P61" t="s">
        <v>286</v>
      </c>
      <c r="Q61" t="s">
        <v>157</v>
      </c>
      <c r="R61" s="19">
        <v>2021</v>
      </c>
      <c r="S61" s="19" t="s">
        <v>63</v>
      </c>
      <c r="T61" s="34"/>
      <c r="U61" s="34"/>
      <c r="V61" s="34"/>
      <c r="W61" s="19"/>
      <c r="X61" s="19"/>
      <c r="Y61" s="19"/>
      <c r="Z61" s="9"/>
      <c r="AA61" s="19"/>
      <c r="AB61" s="34"/>
      <c r="AC61" s="34"/>
      <c r="AD61" s="34"/>
      <c r="AE61" s="34"/>
      <c r="AF61" s="34"/>
      <c r="AG61" s="31"/>
      <c r="AH61" t="s">
        <v>543</v>
      </c>
    </row>
    <row r="62" spans="1:34" x14ac:dyDescent="0.25">
      <c r="A62" s="43">
        <v>21066</v>
      </c>
      <c r="B62" s="17" t="b">
        <v>1</v>
      </c>
      <c r="C62" t="s">
        <v>544</v>
      </c>
      <c r="D62" t="s">
        <v>545</v>
      </c>
      <c r="E62" t="s">
        <v>546</v>
      </c>
      <c r="F62" t="s">
        <v>295</v>
      </c>
      <c r="G62" s="28" t="s">
        <v>547</v>
      </c>
      <c r="H62" s="28" t="str">
        <f>MID(Table1[[#This Row],[Centroid Coordinates]], 14+1, LEN(Table1[[#This Row],[Centroid Coordinates]]) - (14+1))</f>
        <v>43.6967895</v>
      </c>
      <c r="I62" s="28" t="str">
        <f>MID(Table1[[#This Row],[Centroid Coordinates]], 1+1, LEN(Table1[[#This Row],[Centroid Coordinates]]) - (1+13))</f>
        <v>-79.3945757</v>
      </c>
      <c r="J62" t="s">
        <v>548</v>
      </c>
      <c r="K62" t="s">
        <v>549</v>
      </c>
      <c r="L62" t="s">
        <v>71</v>
      </c>
      <c r="M62" t="s">
        <v>188</v>
      </c>
      <c r="N62">
        <v>12</v>
      </c>
      <c r="O62" t="s">
        <v>550</v>
      </c>
      <c r="P62" t="s">
        <v>60</v>
      </c>
      <c r="Q62" t="s">
        <v>61</v>
      </c>
      <c r="R62">
        <v>2021</v>
      </c>
      <c r="S62" t="s">
        <v>104</v>
      </c>
      <c r="T62">
        <v>2025</v>
      </c>
      <c r="U62" t="s">
        <v>551</v>
      </c>
      <c r="V62" t="s">
        <v>234</v>
      </c>
      <c r="W62">
        <v>603</v>
      </c>
      <c r="X62" s="19"/>
      <c r="Y62" s="19"/>
      <c r="Z62" s="9"/>
      <c r="AA62" s="9"/>
      <c r="AB62">
        <v>13.41</v>
      </c>
      <c r="AC62">
        <v>157</v>
      </c>
      <c r="AD62">
        <v>45</v>
      </c>
      <c r="AE62">
        <v>2689</v>
      </c>
      <c r="AF62" s="31"/>
      <c r="AG62" s="10" t="s">
        <v>552</v>
      </c>
    </row>
    <row r="63" spans="1:34" x14ac:dyDescent="0.25">
      <c r="A63" s="43">
        <v>21078</v>
      </c>
      <c r="B63" s="17" t="b">
        <v>1</v>
      </c>
      <c r="C63" t="s">
        <v>553</v>
      </c>
      <c r="D63" t="s">
        <v>554</v>
      </c>
      <c r="E63" t="s">
        <v>42</v>
      </c>
      <c r="F63" t="s">
        <v>295</v>
      </c>
      <c r="G63" s="28" t="s">
        <v>555</v>
      </c>
      <c r="H63" s="28" t="str">
        <f>MID(Table1[[#This Row],[Centroid Coordinates]], 14+1, LEN(Table1[[#This Row],[Centroid Coordinates]]) - (14+1))</f>
        <v>43.6479739</v>
      </c>
      <c r="I63" s="28" t="str">
        <f>MID(Table1[[#This Row],[Centroid Coordinates]], 1+1, LEN(Table1[[#This Row],[Centroid Coordinates]]) - (1+13))</f>
        <v>-79.5073709</v>
      </c>
      <c r="J63" t="s">
        <v>556</v>
      </c>
      <c r="K63" t="s">
        <v>177</v>
      </c>
      <c r="L63" t="s">
        <v>71</v>
      </c>
      <c r="M63" t="s">
        <v>188</v>
      </c>
      <c r="N63">
        <v>3</v>
      </c>
      <c r="O63" t="s">
        <v>557</v>
      </c>
      <c r="P63" s="19"/>
      <c r="Q63" s="19"/>
      <c r="R63" s="19">
        <v>2021</v>
      </c>
      <c r="S63" s="19" t="s">
        <v>104</v>
      </c>
      <c r="T63" t="s">
        <v>558</v>
      </c>
      <c r="U63" t="s">
        <v>559</v>
      </c>
      <c r="V63" t="s">
        <v>234</v>
      </c>
      <c r="W63">
        <v>225</v>
      </c>
      <c r="X63">
        <v>0</v>
      </c>
      <c r="Y63">
        <v>0</v>
      </c>
      <c r="Z63" s="19"/>
      <c r="AA63" s="19"/>
      <c r="AB63">
        <v>4.92</v>
      </c>
      <c r="AC63">
        <v>27</v>
      </c>
      <c r="AD63">
        <v>7</v>
      </c>
      <c r="AE63">
        <v>3176</v>
      </c>
      <c r="AF63" s="31"/>
      <c r="AG63" s="10" t="s">
        <v>560</v>
      </c>
      <c r="AH63" t="s">
        <v>561</v>
      </c>
    </row>
    <row r="64" spans="1:34" x14ac:dyDescent="0.25">
      <c r="A64" s="43">
        <v>23007</v>
      </c>
      <c r="B64" s="17" t="b">
        <v>1</v>
      </c>
      <c r="C64" s="19" t="s">
        <v>562</v>
      </c>
      <c r="D64" t="s">
        <v>563</v>
      </c>
      <c r="E64" t="s">
        <v>564</v>
      </c>
      <c r="F64" t="s">
        <v>295</v>
      </c>
      <c r="G64" s="31"/>
      <c r="H64" s="31" t="e">
        <f>MID(Table1[[#This Row],[Centroid Coordinates]], 14+1, LEN(Table1[[#This Row],[Centroid Coordinates]]) - (14+1))</f>
        <v>#VALUE!</v>
      </c>
      <c r="I64" s="31" t="e">
        <f>MID(Table1[[#This Row],[Centroid Coordinates]], 1+1, LEN(Table1[[#This Row],[Centroid Coordinates]]) - (1+13))</f>
        <v>#VALUE!</v>
      </c>
      <c r="J64" s="31" t="s">
        <v>565</v>
      </c>
      <c r="K64" t="s">
        <v>566</v>
      </c>
      <c r="M64" t="s">
        <v>188</v>
      </c>
      <c r="N64">
        <v>1</v>
      </c>
      <c r="O64" s="30" t="s">
        <v>567</v>
      </c>
      <c r="P64" t="s">
        <v>60</v>
      </c>
      <c r="Q64" t="s">
        <v>273</v>
      </c>
      <c r="R64">
        <v>2023</v>
      </c>
      <c r="S64" t="s">
        <v>63</v>
      </c>
      <c r="T64" t="s">
        <v>63</v>
      </c>
      <c r="U64" t="s">
        <v>63</v>
      </c>
      <c r="V64" t="s">
        <v>63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s="10" t="s">
        <v>568</v>
      </c>
    </row>
    <row r="65" spans="1:34" x14ac:dyDescent="0.25">
      <c r="A65" s="43">
        <v>23075</v>
      </c>
      <c r="B65" s="17" t="b">
        <v>1</v>
      </c>
      <c r="C65" s="19" t="s">
        <v>569</v>
      </c>
      <c r="D65" t="s">
        <v>570</v>
      </c>
      <c r="E65" t="s">
        <v>42</v>
      </c>
      <c r="F65" t="s">
        <v>295</v>
      </c>
      <c r="G65" s="31"/>
      <c r="H65" s="31" t="e">
        <f>MID(Table1[[#This Row],[Centroid Coordinates]], 14+1, LEN(Table1[[#This Row],[Centroid Coordinates]]) - (14+1))</f>
        <v>#VALUE!</v>
      </c>
      <c r="I65" s="31" t="e">
        <f>MID(Table1[[#This Row],[Centroid Coordinates]], 1+1, LEN(Table1[[#This Row],[Centroid Coordinates]]) - (1+13))</f>
        <v>#VALUE!</v>
      </c>
      <c r="J65" s="31" t="s">
        <v>571</v>
      </c>
      <c r="K65" t="s">
        <v>572</v>
      </c>
      <c r="M65" t="s">
        <v>188</v>
      </c>
      <c r="O65" s="30" t="s">
        <v>573</v>
      </c>
      <c r="P65" t="s">
        <v>178</v>
      </c>
      <c r="Q65" t="s">
        <v>157</v>
      </c>
      <c r="R65" s="31">
        <v>2017</v>
      </c>
      <c r="S65" s="9">
        <v>2020</v>
      </c>
      <c r="T65" s="9"/>
      <c r="U65" s="9"/>
      <c r="V65" s="9"/>
      <c r="W65" s="31"/>
      <c r="X65" s="31"/>
      <c r="Y65" s="31"/>
      <c r="Z65" s="31"/>
      <c r="AA65" s="31"/>
      <c r="AB65" s="31"/>
      <c r="AC65" s="31"/>
      <c r="AD65" s="31"/>
      <c r="AE65" s="31"/>
      <c r="AF65" t="s">
        <v>574</v>
      </c>
      <c r="AG65" s="10" t="s">
        <v>575</v>
      </c>
      <c r="AH65" t="s">
        <v>576</v>
      </c>
    </row>
    <row r="66" spans="1:34" x14ac:dyDescent="0.25">
      <c r="A66" s="43" t="s">
        <v>577</v>
      </c>
      <c r="B66" s="17" t="b">
        <v>1</v>
      </c>
      <c r="C66" t="s">
        <v>578</v>
      </c>
      <c r="D66" s="32" t="s">
        <v>579</v>
      </c>
      <c r="E66" t="s">
        <v>42</v>
      </c>
      <c r="F66" t="s">
        <v>295</v>
      </c>
      <c r="G66" t="s">
        <v>580</v>
      </c>
      <c r="H66" t="str">
        <f>MID(Table1[[#This Row],[Centroid Coordinates]], 14+1, LEN(Table1[[#This Row],[Centroid Coordinates]]) - (14+1))</f>
        <v>43.7370430</v>
      </c>
      <c r="I66" t="str">
        <f>MID(Table1[[#This Row],[Centroid Coordinates]], 1+1, LEN(Table1[[#This Row],[Centroid Coordinates]]) - (1+13))</f>
        <v>-79.4727380</v>
      </c>
      <c r="J66" t="s">
        <v>581</v>
      </c>
      <c r="K66" t="s">
        <v>261</v>
      </c>
      <c r="L66" t="s">
        <v>71</v>
      </c>
      <c r="M66" t="s">
        <v>47</v>
      </c>
      <c r="N66">
        <v>6</v>
      </c>
      <c r="O66" s="33" t="s">
        <v>582</v>
      </c>
      <c r="P66" t="s">
        <v>114</v>
      </c>
      <c r="Q66" t="s">
        <v>179</v>
      </c>
      <c r="R66">
        <v>2020</v>
      </c>
      <c r="S66">
        <v>2025</v>
      </c>
      <c r="T66">
        <v>2025</v>
      </c>
      <c r="U66" t="s">
        <v>62</v>
      </c>
      <c r="V66" t="s">
        <v>50</v>
      </c>
      <c r="W66">
        <v>2957</v>
      </c>
      <c r="X66" s="9"/>
      <c r="Y66" s="9"/>
      <c r="Z66" t="s">
        <v>63</v>
      </c>
      <c r="AA66">
        <v>13146</v>
      </c>
      <c r="AB66" s="31"/>
      <c r="AC66" s="31"/>
      <c r="AD66" s="31"/>
      <c r="AE66" s="31"/>
      <c r="AF66" t="s">
        <v>583</v>
      </c>
      <c r="AG66" s="10" t="s">
        <v>584</v>
      </c>
      <c r="AH66" t="s">
        <v>585</v>
      </c>
    </row>
    <row r="70" spans="1:34" x14ac:dyDescent="0.25">
      <c r="C70" s="36"/>
    </row>
  </sheetData>
  <conditionalFormatting sqref="F5:F66">
    <cfRule type="cellIs" dxfId="1" priority="1" operator="equal">
      <formula>"No"</formula>
    </cfRule>
  </conditionalFormatting>
  <hyperlinks>
    <hyperlink ref="AG9" r:id="rId1" xr:uid="{7B69ED89-5550-4442-BFFF-D9040E8A3869}"/>
    <hyperlink ref="AG32" r:id="rId2" xr:uid="{9285D3CA-4A68-40C9-81B4-FF6AF276CDEC}"/>
    <hyperlink ref="AG31" r:id="rId3" xr:uid="{18421FB3-4179-4D31-BBB5-C17EE8744060}"/>
    <hyperlink ref="AG33" r:id="rId4" xr:uid="{D84222E7-D1C4-4B59-8A65-EC8386897B28}"/>
    <hyperlink ref="AG37" r:id="rId5" xr:uid="{1A481FD9-E90E-418B-A446-2BD1042E9EE2}"/>
    <hyperlink ref="AG38" r:id="rId6" xr:uid="{8B39EF81-DD66-4AAD-86C7-D8F278E081C7}"/>
    <hyperlink ref="AG41" r:id="rId7" xr:uid="{FB7C0988-5665-479F-9224-CE951F3E2372}"/>
    <hyperlink ref="AG43" r:id="rId8" xr:uid="{55206249-8F9C-4E84-9625-40AC3F603019}"/>
    <hyperlink ref="AG44" r:id="rId9" xr:uid="{E707017F-09B2-486C-A9CF-0B4941AA325D}"/>
    <hyperlink ref="AG45" r:id="rId10" xr:uid="{3BEB714D-BABD-48FB-8AC2-6632716F4395}"/>
    <hyperlink ref="AG48" r:id="rId11" xr:uid="{248DDF10-974A-4BDF-B306-6F3FF717FF99}"/>
    <hyperlink ref="AG34" r:id="rId12" xr:uid="{F3AC0F5A-7A7C-4E2E-BCD5-A26E989C0E97}"/>
    <hyperlink ref="AG57" r:id="rId13" xr:uid="{53232208-0548-4F8D-8CD3-93EA487F14C1}"/>
    <hyperlink ref="AG58" r:id="rId14" xr:uid="{DAF7347D-E778-4A7B-95CD-256FF4AFF159}"/>
    <hyperlink ref="AG6" r:id="rId15" xr:uid="{356D7BC7-C1AC-4848-B372-15995F4C9DA1}"/>
    <hyperlink ref="AG7" r:id="rId16" xr:uid="{FCD2E2D6-389B-4834-BA31-EBDA2CFB78BB}"/>
    <hyperlink ref="AG8" r:id="rId17" xr:uid="{95C0A004-9E2F-486A-9BF6-585E125289DF}"/>
    <hyperlink ref="AG10" r:id="rId18" xr:uid="{B74C9E23-B509-4940-B48D-18B2F44F1B5B}"/>
    <hyperlink ref="AG11" r:id="rId19" xr:uid="{074FF824-5A3A-414E-8834-4DE4731FC3D8}"/>
    <hyperlink ref="AG12" r:id="rId20" xr:uid="{19659A11-D9AE-47D4-B40F-E689F634F187}"/>
    <hyperlink ref="AG59" r:id="rId21" xr:uid="{A17070D3-9B2E-4512-9135-6EEFFF56B447}"/>
    <hyperlink ref="AG60" r:id="rId22" xr:uid="{F538871E-AFF7-4EE3-9758-B514C575905E}"/>
    <hyperlink ref="AG62" r:id="rId23" xr:uid="{AEA3D69E-6D5D-4E26-8B75-920A4FCBB240}"/>
    <hyperlink ref="AG35" r:id="rId24" xr:uid="{E2F9875F-B7C5-4149-936C-A30784B1FA94}"/>
    <hyperlink ref="AG39" r:id="rId25" xr:uid="{3AD9EA3E-7103-4654-BA6B-1E7F4334F390}"/>
    <hyperlink ref="AG64" r:id="rId26" xr:uid="{A72254DA-FEC8-41D6-B5A2-1BE219F9C280}"/>
    <hyperlink ref="AG40" r:id="rId27" xr:uid="{A8938A4F-82DD-4592-BB5A-97D1C083CD87}"/>
    <hyperlink ref="AG46" r:id="rId28" xr:uid="{FC0D06BB-52EA-47F5-93C9-F64F81448EEF}"/>
    <hyperlink ref="AG13" r:id="rId29" xr:uid="{6F3EBC3C-CCB2-40E6-95D4-C26143A24C0A}"/>
    <hyperlink ref="AG14" r:id="rId30" xr:uid="{02CDE5C6-0264-4398-8CBC-316A797C39E1}"/>
    <hyperlink ref="AG15" r:id="rId31" xr:uid="{21AFE993-F058-4227-A4B3-654133FB3743}"/>
    <hyperlink ref="AG16" r:id="rId32" xr:uid="{063BA665-A96A-45D6-ACA0-966C8F9A3B3E}"/>
    <hyperlink ref="AG17" r:id="rId33" xr:uid="{8B25BAD8-8C35-456C-B822-495E657BE455}"/>
    <hyperlink ref="AG18" r:id="rId34" xr:uid="{58000650-0754-4BF9-9DE1-B33A469D45FD}"/>
    <hyperlink ref="AG21" r:id="rId35" xr:uid="{A83E33A1-A6CA-4C08-9B2C-2D8DE8371770}"/>
    <hyperlink ref="AG22" r:id="rId36" xr:uid="{00E52FA9-9AC8-4FB6-BDBE-F6EF210CF687}"/>
    <hyperlink ref="AG23" r:id="rId37" xr:uid="{CED11BD2-ACA6-4FC3-9804-C071C68ED790}"/>
    <hyperlink ref="AG24" r:id="rId38" xr:uid="{5DC20A6D-DFC3-4805-A7D6-BC569D623A61}"/>
    <hyperlink ref="AG25" r:id="rId39" xr:uid="{869D891F-D69F-4BD0-856E-BF56108376A9}"/>
    <hyperlink ref="AG26" r:id="rId40" xr:uid="{EBBE6CE6-B8A7-4535-B8E9-CCC98B6D34F9}"/>
    <hyperlink ref="AG19" r:id="rId41" xr:uid="{755914F7-7284-4078-A311-7B0011784ABD}"/>
    <hyperlink ref="AG20" r:id="rId42" xr:uid="{D6C24B8A-885A-4591-BA99-1AA31B16EA18}"/>
    <hyperlink ref="AG27" r:id="rId43" xr:uid="{D2D9EFB1-191D-4EE7-AD79-1822B62FA3DC}"/>
    <hyperlink ref="AG66" r:id="rId44" xr:uid="{AC4DBAD7-9ABB-44C7-A36A-499974C260B4}"/>
    <hyperlink ref="AG29" r:id="rId45" xr:uid="{29F311A0-AE98-45DC-948D-C0E70CDF2B38}"/>
    <hyperlink ref="AG65" r:id="rId46" xr:uid="{01B571D2-2F4B-49CD-A089-CE07C2E3604B}"/>
    <hyperlink ref="AG30" r:id="rId47" xr:uid="{3A7A007E-50B1-44A0-8813-C5DBD40796F7}"/>
    <hyperlink ref="AG49" r:id="rId48" xr:uid="{24E1F146-226E-47B9-AB57-659979DAD3B2}"/>
    <hyperlink ref="AG36" r:id="rId49" xr:uid="{DD2E693B-7A64-4677-AD8F-DA380175EA4B}"/>
    <hyperlink ref="AG50" r:id="rId50" xr:uid="{9B3BA2B4-95C8-4B46-83AD-F73E2C0411ED}"/>
    <hyperlink ref="AG51" r:id="rId51" xr:uid="{A1750991-E84C-4EDA-9142-DAD694B7D81D}"/>
    <hyperlink ref="AG52" r:id="rId52" xr:uid="{243A3A19-B2B4-4A05-8A77-241766AE5147}"/>
    <hyperlink ref="AG55" r:id="rId53" xr:uid="{C2932EF2-EF72-4A05-ABF4-FC40EDB10ABF}"/>
    <hyperlink ref="AG56" r:id="rId54" xr:uid="{98948D5F-EB4D-4FB0-B125-4C8E2CEFE46C}"/>
    <hyperlink ref="AG53" r:id="rId55" xr:uid="{86D89AED-C189-455F-A865-22BA9D034E5E}"/>
    <hyperlink ref="AG54" r:id="rId56" xr:uid="{007B0C9D-35B7-48C6-87FE-8A14386E6D81}"/>
    <hyperlink ref="AG63" r:id="rId57" xr:uid="{D9F80CB4-3D3D-4E7D-9F57-B4D3B19D960C}"/>
    <hyperlink ref="AG42" r:id="rId58" xr:uid="{8B37BBAF-8A0C-4854-834D-2ADCEA403C78}"/>
  </hyperlinks>
  <pageMargins left="0.7" right="0.7" top="0.75" bottom="0.75" header="0.3" footer="0.3"/>
  <tableParts count="1"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301E-7537-4063-8D81-CD0AC8DB97AC}">
  <dimension ref="A1:AH62"/>
  <sheetViews>
    <sheetView tabSelected="1" workbookViewId="0">
      <selection activeCell="E7" sqref="E7"/>
    </sheetView>
  </sheetViews>
  <sheetFormatPr defaultRowHeight="15" x14ac:dyDescent="0.25"/>
  <sheetData>
    <row r="1" spans="1:34" x14ac:dyDescent="0.25">
      <c r="A1" s="1" t="s">
        <v>586</v>
      </c>
      <c r="B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2" t="s">
        <v>18</v>
      </c>
      <c r="N1" s="2" t="s">
        <v>19</v>
      </c>
      <c r="O1" s="3" t="s">
        <v>20</v>
      </c>
      <c r="P1" s="3" t="s">
        <v>21</v>
      </c>
      <c r="Q1" s="3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22" t="s">
        <v>28</v>
      </c>
      <c r="X1" s="22" t="s">
        <v>29</v>
      </c>
      <c r="Y1" s="22" t="s">
        <v>30</v>
      </c>
      <c r="Z1" s="22" t="s">
        <v>31</v>
      </c>
      <c r="AA1" s="22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21" t="s">
        <v>37</v>
      </c>
      <c r="AG1" s="5" t="s">
        <v>38</v>
      </c>
      <c r="AH1" s="5" t="s">
        <v>39</v>
      </c>
    </row>
    <row r="2" spans="1:34" x14ac:dyDescent="0.25">
      <c r="A2" s="37">
        <v>19052</v>
      </c>
      <c r="B2" s="13" t="b">
        <v>1</v>
      </c>
      <c r="C2" s="6" t="s">
        <v>40</v>
      </c>
      <c r="D2" t="s">
        <v>41</v>
      </c>
      <c r="E2" t="s">
        <v>42</v>
      </c>
      <c r="F2" t="s">
        <v>43</v>
      </c>
      <c r="G2" s="28" t="s">
        <v>44</v>
      </c>
      <c r="H2" s="28" t="str">
        <f>MID(Table13[[#This Row],[Centroid Coordinates]], 14+1, LEN(Table13[[#This Row],[Centroid Coordinates]]) - (14+1))</f>
        <v>43.6527298</v>
      </c>
      <c r="I2" s="28" t="str">
        <f>MID(Table13[[#This Row],[Centroid Coordinates]], 1+1, LEN(Table13[[#This Row],[Centroid Coordinates]]) - (1+13))</f>
        <v>-79.3712680</v>
      </c>
      <c r="J2" t="s">
        <v>45</v>
      </c>
      <c r="K2" s="19"/>
      <c r="L2" t="s">
        <v>46</v>
      </c>
      <c r="M2" t="s">
        <v>47</v>
      </c>
      <c r="N2">
        <v>13</v>
      </c>
      <c r="O2" s="19"/>
      <c r="P2" s="19"/>
      <c r="Q2" s="19"/>
      <c r="R2" s="19" t="s">
        <v>48</v>
      </c>
      <c r="S2" s="19">
        <v>2022</v>
      </c>
      <c r="T2">
        <v>2022</v>
      </c>
      <c r="U2" t="s">
        <v>49</v>
      </c>
      <c r="V2" t="s">
        <v>50</v>
      </c>
      <c r="W2">
        <v>516</v>
      </c>
      <c r="X2">
        <v>1.36</v>
      </c>
      <c r="Y2">
        <v>7</v>
      </c>
      <c r="Z2">
        <v>5500</v>
      </c>
      <c r="AA2">
        <v>2000</v>
      </c>
      <c r="AB2">
        <v>10.6</v>
      </c>
      <c r="AC2">
        <v>136</v>
      </c>
      <c r="AD2">
        <v>39</v>
      </c>
      <c r="AE2">
        <v>3697</v>
      </c>
      <c r="AF2" t="s">
        <v>51</v>
      </c>
      <c r="AG2" s="10" t="s">
        <v>52</v>
      </c>
    </row>
    <row r="3" spans="1:34" x14ac:dyDescent="0.25">
      <c r="A3" s="38">
        <v>21009</v>
      </c>
      <c r="B3" s="13" t="b">
        <v>1</v>
      </c>
      <c r="C3" s="6" t="s">
        <v>53</v>
      </c>
      <c r="D3" t="s">
        <v>54</v>
      </c>
      <c r="E3" t="s">
        <v>42</v>
      </c>
      <c r="F3" t="s">
        <v>55</v>
      </c>
      <c r="G3" s="28" t="s">
        <v>56</v>
      </c>
      <c r="H3" s="28" t="str">
        <f>MID(Table13[[#This Row],[Centroid Coordinates]], 14+1, LEN(Table13[[#This Row],[Centroid Coordinates]]) - (14+1))</f>
        <v>43.6464978</v>
      </c>
      <c r="I3" s="28" t="str">
        <f>MID(Table13[[#This Row],[Centroid Coordinates]], 1+1, LEN(Table13[[#This Row],[Centroid Coordinates]]) - (1+13))</f>
        <v>-79.3950061</v>
      </c>
      <c r="J3" t="s">
        <v>57</v>
      </c>
      <c r="K3" s="19"/>
      <c r="L3" t="s">
        <v>58</v>
      </c>
      <c r="M3" t="s">
        <v>47</v>
      </c>
      <c r="N3">
        <v>10</v>
      </c>
      <c r="O3" t="s">
        <v>59</v>
      </c>
      <c r="P3" t="s">
        <v>60</v>
      </c>
      <c r="Q3" t="s">
        <v>61</v>
      </c>
      <c r="R3">
        <v>2021</v>
      </c>
      <c r="S3">
        <v>2025</v>
      </c>
      <c r="T3">
        <v>2025</v>
      </c>
      <c r="U3" t="s">
        <v>62</v>
      </c>
      <c r="V3" t="s">
        <v>50</v>
      </c>
      <c r="W3">
        <v>452</v>
      </c>
      <c r="X3">
        <v>0</v>
      </c>
      <c r="Y3">
        <v>0</v>
      </c>
      <c r="Z3" t="s">
        <v>63</v>
      </c>
      <c r="AA3">
        <v>120</v>
      </c>
      <c r="AB3">
        <v>16.100000000000001</v>
      </c>
      <c r="AC3">
        <v>167</v>
      </c>
      <c r="AD3">
        <v>50</v>
      </c>
      <c r="AE3">
        <v>2178</v>
      </c>
      <c r="AF3" t="s">
        <v>64</v>
      </c>
      <c r="AG3" s="10" t="s">
        <v>65</v>
      </c>
    </row>
    <row r="4" spans="1:34" x14ac:dyDescent="0.25">
      <c r="A4" s="37">
        <v>16099</v>
      </c>
      <c r="B4" s="13" t="b">
        <v>1</v>
      </c>
      <c r="C4" s="6" t="s">
        <v>66</v>
      </c>
      <c r="D4" t="s">
        <v>67</v>
      </c>
      <c r="E4" t="s">
        <v>42</v>
      </c>
      <c r="F4" t="s">
        <v>55</v>
      </c>
      <c r="G4" s="28" t="s">
        <v>68</v>
      </c>
      <c r="H4" s="28" t="str">
        <f>MID(Table13[[#This Row],[Centroid Coordinates]], 14+1, LEN(Table13[[#This Row],[Centroid Coordinates]]) - (14+1))</f>
        <v>43.6802900</v>
      </c>
      <c r="I4" s="28" t="str">
        <f>MID(Table13[[#This Row],[Centroid Coordinates]], 1+1, LEN(Table13[[#This Row],[Centroid Coordinates]]) - (1+13))</f>
        <v>-79.3902855</v>
      </c>
      <c r="J4" t="s">
        <v>69</v>
      </c>
      <c r="K4" t="s">
        <v>70</v>
      </c>
      <c r="L4" t="s">
        <v>71</v>
      </c>
      <c r="M4" t="s">
        <v>47</v>
      </c>
      <c r="N4">
        <v>11</v>
      </c>
      <c r="O4" t="s">
        <v>72</v>
      </c>
      <c r="P4" t="s">
        <v>60</v>
      </c>
      <c r="Q4" t="s">
        <v>73</v>
      </c>
      <c r="R4">
        <v>2016</v>
      </c>
      <c r="S4">
        <v>2021</v>
      </c>
      <c r="T4">
        <v>2021</v>
      </c>
      <c r="U4" t="s">
        <v>74</v>
      </c>
      <c r="V4" t="s">
        <v>50</v>
      </c>
      <c r="W4">
        <v>127</v>
      </c>
      <c r="X4">
        <v>0</v>
      </c>
      <c r="Y4">
        <v>0</v>
      </c>
      <c r="Z4">
        <v>3300</v>
      </c>
      <c r="AA4" t="s">
        <v>63</v>
      </c>
      <c r="AB4" s="19"/>
      <c r="AC4">
        <v>85.4</v>
      </c>
      <c r="AD4">
        <v>21</v>
      </c>
      <c r="AE4">
        <v>4450</v>
      </c>
      <c r="AF4" t="s">
        <v>75</v>
      </c>
      <c r="AG4" s="10" t="s">
        <v>76</v>
      </c>
      <c r="AH4" t="s">
        <v>77</v>
      </c>
    </row>
    <row r="5" spans="1:34" x14ac:dyDescent="0.25">
      <c r="A5" s="39">
        <v>20043</v>
      </c>
      <c r="B5" s="14" t="b">
        <v>1</v>
      </c>
      <c r="C5" s="20" t="s">
        <v>78</v>
      </c>
      <c r="D5" t="s">
        <v>79</v>
      </c>
      <c r="E5" t="s">
        <v>42</v>
      </c>
      <c r="F5" t="s">
        <v>43</v>
      </c>
      <c r="G5" s="28" t="s">
        <v>80</v>
      </c>
      <c r="H5" s="28" t="str">
        <f>MID(Table13[[#This Row],[Centroid Coordinates]], 14+1, LEN(Table13[[#This Row],[Centroid Coordinates]]) - (14+1))</f>
        <v>43.6673132</v>
      </c>
      <c r="I5" s="28" t="str">
        <f>MID(Table13[[#This Row],[Centroid Coordinates]], 1+1, LEN(Table13[[#This Row],[Centroid Coordinates]]) - (1+13))</f>
        <v>-79.3871454</v>
      </c>
      <c r="J5" t="s">
        <v>81</v>
      </c>
      <c r="K5" s="19"/>
      <c r="L5" t="s">
        <v>58</v>
      </c>
      <c r="M5" t="s">
        <v>47</v>
      </c>
      <c r="N5">
        <v>13</v>
      </c>
      <c r="O5" s="19"/>
      <c r="P5" s="19"/>
      <c r="Q5" s="19"/>
      <c r="R5" t="s">
        <v>48</v>
      </c>
      <c r="S5">
        <v>2023</v>
      </c>
      <c r="T5">
        <v>2023</v>
      </c>
      <c r="U5" t="s">
        <v>82</v>
      </c>
      <c r="V5" t="s">
        <v>50</v>
      </c>
      <c r="W5">
        <v>1024</v>
      </c>
      <c r="X5">
        <v>4.88</v>
      </c>
      <c r="Y5">
        <v>50</v>
      </c>
      <c r="Z5" t="s">
        <v>63</v>
      </c>
      <c r="AA5">
        <v>1010</v>
      </c>
      <c r="AB5">
        <v>15.42</v>
      </c>
      <c r="AC5" t="s">
        <v>83</v>
      </c>
      <c r="AD5" t="s">
        <v>84</v>
      </c>
      <c r="AE5">
        <v>5212</v>
      </c>
      <c r="AF5" t="s">
        <v>85</v>
      </c>
      <c r="AG5" s="10" t="s">
        <v>86</v>
      </c>
      <c r="AH5" t="s">
        <v>87</v>
      </c>
    </row>
    <row r="6" spans="1:34" x14ac:dyDescent="0.25">
      <c r="A6" s="40">
        <v>20061</v>
      </c>
      <c r="B6" s="14" t="b">
        <v>1</v>
      </c>
      <c r="C6" s="20" t="s">
        <v>88</v>
      </c>
      <c r="D6" t="s">
        <v>79</v>
      </c>
      <c r="E6" t="s">
        <v>42</v>
      </c>
      <c r="F6" t="s">
        <v>55</v>
      </c>
      <c r="G6" s="28" t="s">
        <v>89</v>
      </c>
      <c r="H6" s="28" t="str">
        <f>MID(Table13[[#This Row],[Centroid Coordinates]], 14+1, LEN(Table13[[#This Row],[Centroid Coordinates]]) - (14+1))</f>
        <v>43.7821101</v>
      </c>
      <c r="I6" s="28" t="str">
        <f>MID(Table13[[#This Row],[Centroid Coordinates]], 1+1, LEN(Table13[[#This Row],[Centroid Coordinates]]) - (1+13))</f>
        <v>-79.4458818</v>
      </c>
      <c r="J6" t="s">
        <v>90</v>
      </c>
      <c r="K6" s="19"/>
      <c r="L6" t="s">
        <v>58</v>
      </c>
      <c r="M6" t="s">
        <v>47</v>
      </c>
      <c r="N6">
        <v>6</v>
      </c>
      <c r="O6" t="s">
        <v>91</v>
      </c>
      <c r="P6" s="19"/>
      <c r="Q6" s="19"/>
      <c r="R6" t="s">
        <v>48</v>
      </c>
      <c r="S6">
        <v>2024</v>
      </c>
      <c r="T6">
        <v>2024</v>
      </c>
      <c r="U6" t="s">
        <v>62</v>
      </c>
      <c r="V6" t="s">
        <v>50</v>
      </c>
      <c r="W6">
        <v>1151</v>
      </c>
      <c r="X6">
        <v>0</v>
      </c>
      <c r="Y6">
        <v>0</v>
      </c>
      <c r="Z6">
        <v>900</v>
      </c>
      <c r="AA6" t="s">
        <v>63</v>
      </c>
      <c r="AB6">
        <v>4.46</v>
      </c>
      <c r="AC6" t="s">
        <v>92</v>
      </c>
      <c r="AD6" t="s">
        <v>93</v>
      </c>
      <c r="AE6">
        <v>19014</v>
      </c>
      <c r="AF6" t="s">
        <v>94</v>
      </c>
      <c r="AG6" s="10" t="s">
        <v>95</v>
      </c>
      <c r="AH6" t="s">
        <v>96</v>
      </c>
    </row>
    <row r="7" spans="1:34" x14ac:dyDescent="0.25">
      <c r="A7" s="40">
        <v>18000</v>
      </c>
      <c r="B7" s="14" t="b">
        <v>1</v>
      </c>
      <c r="C7" s="23" t="s">
        <v>97</v>
      </c>
      <c r="D7" t="s">
        <v>98</v>
      </c>
      <c r="E7" t="s">
        <v>99</v>
      </c>
      <c r="F7" t="s">
        <v>55</v>
      </c>
      <c r="G7" s="28" t="s">
        <v>100</v>
      </c>
      <c r="H7" s="28" t="str">
        <f>MID(Table13[[#This Row],[Centroid Coordinates]], 14+1, LEN(Table13[[#This Row],[Centroid Coordinates]]) - (14+1))</f>
        <v>43.7464712</v>
      </c>
      <c r="I7" s="28" t="str">
        <f>MID(Table13[[#This Row],[Centroid Coordinates]], 1+1, LEN(Table13[[#This Row],[Centroid Coordinates]]) - (1+13))</f>
        <v>-79.4723534</v>
      </c>
      <c r="J7" t="s">
        <v>101</v>
      </c>
      <c r="K7" t="s">
        <v>102</v>
      </c>
      <c r="L7" t="s">
        <v>71</v>
      </c>
      <c r="M7" t="s">
        <v>47</v>
      </c>
      <c r="N7">
        <v>6</v>
      </c>
      <c r="O7" t="s">
        <v>103</v>
      </c>
      <c r="P7" s="19"/>
      <c r="Q7" s="19"/>
      <c r="R7" s="19">
        <v>2018</v>
      </c>
      <c r="S7" s="9" t="s">
        <v>104</v>
      </c>
      <c r="T7">
        <v>2024</v>
      </c>
      <c r="U7" t="s">
        <v>49</v>
      </c>
      <c r="V7" t="s">
        <v>50</v>
      </c>
      <c r="W7" s="19"/>
      <c r="X7" s="19"/>
      <c r="Y7" s="19"/>
      <c r="Z7" s="19"/>
      <c r="AA7" s="19"/>
      <c r="AB7" s="19"/>
      <c r="AC7" s="19"/>
      <c r="AD7" s="19"/>
      <c r="AE7" s="19"/>
      <c r="AF7" t="s">
        <v>105</v>
      </c>
      <c r="AG7" s="10" t="s">
        <v>106</v>
      </c>
      <c r="AH7" t="s">
        <v>107</v>
      </c>
    </row>
    <row r="8" spans="1:34" x14ac:dyDescent="0.25">
      <c r="A8" s="45" t="s">
        <v>108</v>
      </c>
      <c r="B8" s="15" t="b">
        <v>1</v>
      </c>
      <c r="C8" s="24" t="s">
        <v>109</v>
      </c>
      <c r="D8" t="s">
        <v>110</v>
      </c>
      <c r="E8" t="s">
        <v>42</v>
      </c>
      <c r="F8" t="s">
        <v>55</v>
      </c>
      <c r="G8" s="28" t="s">
        <v>111</v>
      </c>
      <c r="H8" s="28" t="str">
        <f>MID(Table13[[#This Row],[Centroid Coordinates]], 14+1, LEN(Table13[[#This Row],[Centroid Coordinates]]) - (14+1))</f>
        <v>43.7517928</v>
      </c>
      <c r="I8" s="28" t="str">
        <f>MID(Table13[[#This Row],[Centroid Coordinates]], 1+1, LEN(Table13[[#This Row],[Centroid Coordinates]]) - (1+13))</f>
        <v>-79.4664465</v>
      </c>
      <c r="J8" t="s">
        <v>112</v>
      </c>
      <c r="K8" t="s">
        <v>113</v>
      </c>
      <c r="L8" t="s">
        <v>71</v>
      </c>
      <c r="M8" t="s">
        <v>47</v>
      </c>
      <c r="N8">
        <v>6</v>
      </c>
      <c r="O8" t="s">
        <v>114</v>
      </c>
      <c r="P8" s="19"/>
      <c r="Q8" s="19"/>
      <c r="R8" t="s">
        <v>48</v>
      </c>
      <c r="S8">
        <v>2020</v>
      </c>
      <c r="T8">
        <v>2020</v>
      </c>
      <c r="U8" t="s">
        <v>49</v>
      </c>
      <c r="V8" t="s">
        <v>50</v>
      </c>
      <c r="W8">
        <v>392</v>
      </c>
      <c r="X8">
        <v>0</v>
      </c>
      <c r="Y8">
        <v>0</v>
      </c>
      <c r="Z8">
        <v>0</v>
      </c>
      <c r="AA8">
        <v>0</v>
      </c>
      <c r="AB8">
        <v>3.4</v>
      </c>
      <c r="AC8">
        <v>45.7</v>
      </c>
      <c r="AD8">
        <v>14</v>
      </c>
      <c r="AE8">
        <v>4058</v>
      </c>
      <c r="AF8" t="s">
        <v>115</v>
      </c>
      <c r="AG8" s="10" t="s">
        <v>116</v>
      </c>
    </row>
    <row r="9" spans="1:34" x14ac:dyDescent="0.25">
      <c r="A9" s="40">
        <v>17089</v>
      </c>
      <c r="B9" s="16" t="b">
        <v>1</v>
      </c>
      <c r="C9" s="25" t="s">
        <v>117</v>
      </c>
      <c r="D9" t="s">
        <v>118</v>
      </c>
      <c r="E9" t="s">
        <v>42</v>
      </c>
      <c r="F9" t="s">
        <v>43</v>
      </c>
      <c r="G9" s="28" t="s">
        <v>119</v>
      </c>
      <c r="H9" s="28" t="str">
        <f>MID(Table13[[#This Row],[Centroid Coordinates]], 14+1, LEN(Table13[[#This Row],[Centroid Coordinates]]) - (14+1))</f>
        <v>43.6548650</v>
      </c>
      <c r="I9" s="28" t="str">
        <f>MID(Table13[[#This Row],[Centroid Coordinates]], 1+1, LEN(Table13[[#This Row],[Centroid Coordinates]]) - (1+13))</f>
        <v>-79.3896418</v>
      </c>
      <c r="J9" t="s">
        <v>120</v>
      </c>
      <c r="K9" s="19"/>
      <c r="L9" t="s">
        <v>71</v>
      </c>
      <c r="M9" t="s">
        <v>47</v>
      </c>
      <c r="N9">
        <v>11</v>
      </c>
      <c r="O9" s="18" t="s">
        <v>121</v>
      </c>
      <c r="P9" t="s">
        <v>122</v>
      </c>
      <c r="Q9" t="s">
        <v>123</v>
      </c>
      <c r="R9" t="s">
        <v>48</v>
      </c>
      <c r="S9" t="s">
        <v>104</v>
      </c>
      <c r="T9">
        <v>2025</v>
      </c>
      <c r="U9" t="s">
        <v>49</v>
      </c>
      <c r="V9" t="s">
        <v>50</v>
      </c>
      <c r="W9">
        <v>719</v>
      </c>
      <c r="X9">
        <v>2.64</v>
      </c>
      <c r="Y9">
        <v>19</v>
      </c>
      <c r="Z9" t="s">
        <v>63</v>
      </c>
      <c r="AA9">
        <v>250</v>
      </c>
      <c r="AB9">
        <v>19.12</v>
      </c>
      <c r="AC9">
        <v>188.25</v>
      </c>
      <c r="AD9">
        <v>57</v>
      </c>
      <c r="AE9">
        <v>2339</v>
      </c>
      <c r="AF9" s="19" t="s">
        <v>124</v>
      </c>
      <c r="AG9" s="10" t="s">
        <v>125</v>
      </c>
      <c r="AH9" t="s">
        <v>126</v>
      </c>
    </row>
    <row r="10" spans="1:34" x14ac:dyDescent="0.25">
      <c r="A10" s="40">
        <v>20012</v>
      </c>
      <c r="B10" s="16" t="b">
        <v>1</v>
      </c>
      <c r="C10" s="7" t="s">
        <v>127</v>
      </c>
      <c r="D10" t="s">
        <v>128</v>
      </c>
      <c r="E10" t="s">
        <v>42</v>
      </c>
      <c r="F10" t="s">
        <v>55</v>
      </c>
      <c r="G10" s="28" t="s">
        <v>129</v>
      </c>
      <c r="H10" s="28" t="str">
        <f>MID(Table13[[#This Row],[Centroid Coordinates]], 14+1, LEN(Table13[[#This Row],[Centroid Coordinates]]) - (14+1))</f>
        <v>43.6399793</v>
      </c>
      <c r="I10" s="28" t="str">
        <f>MID(Table13[[#This Row],[Centroid Coordinates]], 1+1, LEN(Table13[[#This Row],[Centroid Coordinates]]) - (1+13))</f>
        <v>-79.4189436</v>
      </c>
      <c r="J10" t="s">
        <v>130</v>
      </c>
      <c r="K10" t="s">
        <v>131</v>
      </c>
      <c r="L10" t="s">
        <v>71</v>
      </c>
      <c r="M10" t="s">
        <v>47</v>
      </c>
      <c r="N10">
        <v>10</v>
      </c>
      <c r="O10" t="s">
        <v>132</v>
      </c>
      <c r="P10" t="s">
        <v>122</v>
      </c>
      <c r="Q10" t="s">
        <v>133</v>
      </c>
      <c r="R10">
        <v>2020</v>
      </c>
      <c r="S10">
        <v>2024</v>
      </c>
      <c r="T10" s="9">
        <v>2023</v>
      </c>
      <c r="U10" t="s">
        <v>62</v>
      </c>
      <c r="V10" t="s">
        <v>50</v>
      </c>
      <c r="W10">
        <v>963</v>
      </c>
      <c r="X10">
        <v>3.01</v>
      </c>
      <c r="Y10">
        <v>29</v>
      </c>
      <c r="Z10" t="s">
        <v>63</v>
      </c>
      <c r="AA10" t="s">
        <v>63</v>
      </c>
      <c r="AB10">
        <v>6.85</v>
      </c>
      <c r="AC10" t="s">
        <v>134</v>
      </c>
      <c r="AD10" t="s">
        <v>135</v>
      </c>
      <c r="AE10">
        <v>12129</v>
      </c>
      <c r="AF10" t="s">
        <v>136</v>
      </c>
      <c r="AG10" s="10" t="s">
        <v>116</v>
      </c>
    </row>
    <row r="11" spans="1:34" x14ac:dyDescent="0.25">
      <c r="A11" s="41">
        <v>19001</v>
      </c>
      <c r="B11" s="16" t="b">
        <v>1</v>
      </c>
      <c r="C11" s="7" t="s">
        <v>137</v>
      </c>
      <c r="D11" t="s">
        <v>138</v>
      </c>
      <c r="E11" t="s">
        <v>42</v>
      </c>
      <c r="F11" t="s">
        <v>55</v>
      </c>
      <c r="G11" s="28" t="s">
        <v>139</v>
      </c>
      <c r="H11" s="28" t="str">
        <f>MID(Table13[[#This Row],[Centroid Coordinates]], 14+1, LEN(Table13[[#This Row],[Centroid Coordinates]]) - (14+1))</f>
        <v>43.6433640</v>
      </c>
      <c r="I11" s="28" t="str">
        <f>MID(Table13[[#This Row],[Centroid Coordinates]], 1+1, LEN(Table13[[#This Row],[Centroid Coordinates]]) - (1+13))</f>
        <v>-79.3891230</v>
      </c>
      <c r="J11" t="s">
        <v>140</v>
      </c>
      <c r="K11" t="s">
        <v>141</v>
      </c>
      <c r="L11" t="s">
        <v>46</v>
      </c>
      <c r="M11" t="s">
        <v>47</v>
      </c>
      <c r="N11">
        <v>10</v>
      </c>
      <c r="O11" t="s">
        <v>142</v>
      </c>
      <c r="P11" t="s">
        <v>143</v>
      </c>
      <c r="Q11" t="s">
        <v>144</v>
      </c>
      <c r="R11">
        <v>2019</v>
      </c>
      <c r="S11" t="s">
        <v>104</v>
      </c>
      <c r="T11">
        <v>2025</v>
      </c>
      <c r="U11" t="s">
        <v>62</v>
      </c>
      <c r="V11" t="s">
        <v>50</v>
      </c>
      <c r="W11">
        <v>1793</v>
      </c>
      <c r="X11">
        <v>2.67</v>
      </c>
      <c r="Y11">
        <v>48</v>
      </c>
      <c r="Z11" t="s">
        <v>63</v>
      </c>
      <c r="AA11" t="s">
        <v>63</v>
      </c>
      <c r="AB11">
        <v>17.7</v>
      </c>
      <c r="AC11" t="s">
        <v>145</v>
      </c>
      <c r="AD11" s="11" t="s">
        <v>146</v>
      </c>
      <c r="AE11">
        <v>16393</v>
      </c>
      <c r="AF11" s="19" t="s">
        <v>124</v>
      </c>
      <c r="AG11" s="10" t="s">
        <v>147</v>
      </c>
      <c r="AH11" t="s">
        <v>148</v>
      </c>
    </row>
    <row r="12" spans="1:34" x14ac:dyDescent="0.25">
      <c r="A12" s="41">
        <v>19001</v>
      </c>
      <c r="B12" s="29" t="b">
        <v>1</v>
      </c>
      <c r="C12" s="7" t="s">
        <v>137</v>
      </c>
      <c r="D12" t="s">
        <v>138</v>
      </c>
      <c r="E12" t="s">
        <v>42</v>
      </c>
      <c r="F12" t="s">
        <v>55</v>
      </c>
      <c r="G12" s="28" t="s">
        <v>149</v>
      </c>
      <c r="H12" s="28" t="str">
        <f>MID(Table13[[#This Row],[Centroid Coordinates]], 14+1, LEN(Table13[[#This Row],[Centroid Coordinates]]) - (14+1))</f>
        <v>43.6432270</v>
      </c>
      <c r="I12" s="28" t="str">
        <f>MID(Table13[[#This Row],[Centroid Coordinates]], 1+1, LEN(Table13[[#This Row],[Centroid Coordinates]]) - (1+13))</f>
        <v>-79.3902670</v>
      </c>
      <c r="J12" t="s">
        <v>150</v>
      </c>
      <c r="K12" t="s">
        <v>141</v>
      </c>
      <c r="L12" t="s">
        <v>46</v>
      </c>
      <c r="M12" t="s">
        <v>47</v>
      </c>
      <c r="N12">
        <v>10</v>
      </c>
      <c r="O12" t="s">
        <v>142</v>
      </c>
      <c r="P12" t="s">
        <v>143</v>
      </c>
      <c r="Q12" t="s">
        <v>144</v>
      </c>
      <c r="R12">
        <v>2019</v>
      </c>
      <c r="S12" t="s">
        <v>104</v>
      </c>
      <c r="T12">
        <v>2025</v>
      </c>
      <c r="U12" t="s">
        <v>62</v>
      </c>
      <c r="V12" t="s">
        <v>50</v>
      </c>
      <c r="W12">
        <v>1793</v>
      </c>
      <c r="X12">
        <v>2.67</v>
      </c>
      <c r="Y12">
        <v>48</v>
      </c>
      <c r="Z12" t="s">
        <v>63</v>
      </c>
      <c r="AA12" t="s">
        <v>63</v>
      </c>
      <c r="AB12">
        <v>17.7</v>
      </c>
      <c r="AC12" t="s">
        <v>145</v>
      </c>
      <c r="AD12" s="11" t="s">
        <v>146</v>
      </c>
      <c r="AE12">
        <v>16393</v>
      </c>
      <c r="AF12" s="19" t="s">
        <v>124</v>
      </c>
      <c r="AG12" s="10" t="s">
        <v>147</v>
      </c>
      <c r="AH12" t="s">
        <v>148</v>
      </c>
    </row>
    <row r="13" spans="1:34" x14ac:dyDescent="0.25">
      <c r="A13" s="40">
        <v>14081</v>
      </c>
      <c r="B13" s="16" t="b">
        <v>1</v>
      </c>
      <c r="C13" t="s">
        <v>151</v>
      </c>
      <c r="D13" t="s">
        <v>152</v>
      </c>
      <c r="E13" t="s">
        <v>42</v>
      </c>
      <c r="F13" t="s">
        <v>55</v>
      </c>
      <c r="G13" s="28" t="s">
        <v>153</v>
      </c>
      <c r="H13" s="28" t="str">
        <f>MID(Table13[[#This Row],[Centroid Coordinates]], 14+1, LEN(Table13[[#This Row],[Centroid Coordinates]]) - (14+1))</f>
        <v>43.6267741</v>
      </c>
      <c r="I13" s="28" t="str">
        <f>MID(Table13[[#This Row],[Centroid Coordinates]], 1+1, LEN(Table13[[#This Row],[Centroid Coordinates]]) - (1+13))</f>
        <v>-79.4799725</v>
      </c>
      <c r="J13" t="s">
        <v>154</v>
      </c>
      <c r="K13" t="s">
        <v>155</v>
      </c>
      <c r="L13" t="s">
        <v>71</v>
      </c>
      <c r="M13" t="s">
        <v>47</v>
      </c>
      <c r="N13">
        <v>3</v>
      </c>
      <c r="O13" s="18" t="s">
        <v>156</v>
      </c>
      <c r="P13" t="s">
        <v>142</v>
      </c>
      <c r="Q13" t="s">
        <v>157</v>
      </c>
      <c r="R13" s="19">
        <v>2014</v>
      </c>
      <c r="S13" s="19" t="s">
        <v>104</v>
      </c>
      <c r="T13">
        <v>2021</v>
      </c>
      <c r="U13" t="s">
        <v>158</v>
      </c>
      <c r="V13" t="s">
        <v>159</v>
      </c>
      <c r="W13" s="19"/>
      <c r="X13" s="19"/>
      <c r="Y13" s="19"/>
      <c r="Z13" s="19"/>
      <c r="AA13" s="19"/>
      <c r="AB13" s="19"/>
      <c r="AC13" s="19"/>
      <c r="AD13" s="18" t="s">
        <v>160</v>
      </c>
      <c r="AE13" s="19"/>
      <c r="AF13" s="19" t="s">
        <v>161</v>
      </c>
      <c r="AG13" s="10" t="s">
        <v>162</v>
      </c>
      <c r="AH13" t="s">
        <v>163</v>
      </c>
    </row>
    <row r="14" spans="1:34" x14ac:dyDescent="0.25">
      <c r="A14" s="42" t="s">
        <v>164</v>
      </c>
      <c r="B14" s="17" t="b">
        <v>1</v>
      </c>
      <c r="C14" s="19" t="s">
        <v>165</v>
      </c>
      <c r="D14" t="s">
        <v>166</v>
      </c>
      <c r="E14" t="s">
        <v>42</v>
      </c>
      <c r="F14" t="s">
        <v>43</v>
      </c>
      <c r="G14" s="28" t="s">
        <v>167</v>
      </c>
      <c r="H14" s="28" t="str">
        <f>MID(Table13[[#This Row],[Centroid Coordinates]], 14+1, LEN(Table13[[#This Row],[Centroid Coordinates]]) - (14+1))</f>
        <v>43.6692702</v>
      </c>
      <c r="I14" s="28" t="str">
        <f>MID(Table13[[#This Row],[Centroid Coordinates]], 1+1, LEN(Table13[[#This Row],[Centroid Coordinates]]) - (1+13))</f>
        <v>-79.3993584</v>
      </c>
      <c r="J14" t="s">
        <v>168</v>
      </c>
      <c r="K14" s="19"/>
      <c r="L14" t="s">
        <v>71</v>
      </c>
      <c r="M14" t="s">
        <v>47</v>
      </c>
      <c r="N14">
        <v>11</v>
      </c>
      <c r="O14" s="19"/>
      <c r="P14" s="19"/>
      <c r="Q14" s="19"/>
      <c r="R14" s="19"/>
      <c r="S14" s="19"/>
      <c r="T14" s="19">
        <v>2023</v>
      </c>
      <c r="U14" t="s">
        <v>62</v>
      </c>
      <c r="V14" t="s">
        <v>50</v>
      </c>
      <c r="W14">
        <v>94</v>
      </c>
      <c r="X14">
        <v>0</v>
      </c>
      <c r="Y14">
        <v>0</v>
      </c>
      <c r="Z14">
        <v>36</v>
      </c>
      <c r="AB14">
        <v>5.47</v>
      </c>
      <c r="AC14">
        <v>43</v>
      </c>
      <c r="AD14">
        <v>13</v>
      </c>
      <c r="AE14">
        <v>1211</v>
      </c>
      <c r="AF14" s="11" t="s">
        <v>169</v>
      </c>
      <c r="AG14" s="10" t="s">
        <v>170</v>
      </c>
      <c r="AH14" t="s">
        <v>171</v>
      </c>
    </row>
    <row r="15" spans="1:34" x14ac:dyDescent="0.25">
      <c r="A15" s="43" t="s">
        <v>172</v>
      </c>
      <c r="B15" s="17" t="b">
        <v>1</v>
      </c>
      <c r="C15" s="8" t="s">
        <v>173</v>
      </c>
      <c r="D15" t="s">
        <v>174</v>
      </c>
      <c r="E15" t="s">
        <v>42</v>
      </c>
      <c r="F15" t="s">
        <v>55</v>
      </c>
      <c r="G15" s="28" t="s">
        <v>175</v>
      </c>
      <c r="H15" s="28" t="str">
        <f>MID(Table13[[#This Row],[Centroid Coordinates]], 14+1, LEN(Table13[[#This Row],[Centroid Coordinates]]) - (14+1))</f>
        <v>43.7160963</v>
      </c>
      <c r="I15" s="28" t="str">
        <f>MID(Table13[[#This Row],[Centroid Coordinates]], 1+1, LEN(Table13[[#This Row],[Centroid Coordinates]]) - (1+13))</f>
        <v>-79.3362448</v>
      </c>
      <c r="J15" t="s">
        <v>176</v>
      </c>
      <c r="K15" t="s">
        <v>177</v>
      </c>
      <c r="L15" t="s">
        <v>58</v>
      </c>
      <c r="M15" t="s">
        <v>47</v>
      </c>
      <c r="N15">
        <v>16</v>
      </c>
      <c r="O15" t="s">
        <v>178</v>
      </c>
      <c r="P15" t="s">
        <v>178</v>
      </c>
      <c r="Q15" t="s">
        <v>179</v>
      </c>
      <c r="R15">
        <v>2022</v>
      </c>
      <c r="S15">
        <v>2025</v>
      </c>
      <c r="T15">
        <v>2024</v>
      </c>
      <c r="U15" t="s">
        <v>49</v>
      </c>
      <c r="V15" t="s">
        <v>50</v>
      </c>
      <c r="W15">
        <v>2536</v>
      </c>
      <c r="X15">
        <v>0</v>
      </c>
      <c r="Y15">
        <v>0</v>
      </c>
      <c r="Z15" t="s">
        <v>63</v>
      </c>
      <c r="AA15" t="s">
        <v>63</v>
      </c>
      <c r="AB15">
        <v>7.87</v>
      </c>
      <c r="AC15" t="s">
        <v>180</v>
      </c>
      <c r="AD15" t="s">
        <v>181</v>
      </c>
      <c r="AE15">
        <v>38807</v>
      </c>
      <c r="AF15" t="s">
        <v>182</v>
      </c>
      <c r="AG15" s="10" t="s">
        <v>183</v>
      </c>
      <c r="AH15" t="s">
        <v>184</v>
      </c>
    </row>
    <row r="16" spans="1:34" x14ac:dyDescent="0.25">
      <c r="A16" s="43">
        <v>22013</v>
      </c>
      <c r="B16" s="17" t="b">
        <v>1</v>
      </c>
      <c r="C16" s="35" t="s">
        <v>185</v>
      </c>
      <c r="D16" t="s">
        <v>174</v>
      </c>
      <c r="E16" t="s">
        <v>42</v>
      </c>
      <c r="F16" t="s">
        <v>55</v>
      </c>
      <c r="G16" s="28" t="s">
        <v>186</v>
      </c>
      <c r="H16" s="28" t="str">
        <f>MID(Table13[[#This Row],[Centroid Coordinates]], 14+1, LEN(Table13[[#This Row],[Centroid Coordinates]]) - (14+1))</f>
        <v>43.6722918</v>
      </c>
      <c r="I16" s="28" t="str">
        <f>MID(Table13[[#This Row],[Centroid Coordinates]], 1+1, LEN(Table13[[#This Row],[Centroid Coordinates]]) - (1+13))</f>
        <v>-79.3788514</v>
      </c>
      <c r="J16" t="s">
        <v>187</v>
      </c>
      <c r="K16" t="s">
        <v>177</v>
      </c>
      <c r="L16" t="s">
        <v>71</v>
      </c>
      <c r="M16" t="s">
        <v>188</v>
      </c>
      <c r="N16">
        <v>11</v>
      </c>
      <c r="O16" s="19"/>
      <c r="P16" s="19"/>
      <c r="Q16" s="19"/>
      <c r="R16">
        <v>2021</v>
      </c>
      <c r="S16">
        <v>2025</v>
      </c>
      <c r="T16">
        <v>2024</v>
      </c>
      <c r="U16" t="s">
        <v>49</v>
      </c>
      <c r="V16" t="s">
        <v>50</v>
      </c>
      <c r="W16">
        <v>806</v>
      </c>
      <c r="X16">
        <v>1.98</v>
      </c>
      <c r="Y16">
        <v>16</v>
      </c>
      <c r="Z16" t="s">
        <v>63</v>
      </c>
      <c r="AA16">
        <v>400</v>
      </c>
      <c r="AB16">
        <v>19.41</v>
      </c>
      <c r="AC16">
        <v>215</v>
      </c>
      <c r="AD16">
        <v>63</v>
      </c>
      <c r="AE16">
        <v>2530</v>
      </c>
      <c r="AF16" t="s">
        <v>189</v>
      </c>
      <c r="AG16" s="10" t="s">
        <v>190</v>
      </c>
      <c r="AH16" t="s">
        <v>191</v>
      </c>
    </row>
    <row r="17" spans="1:34" x14ac:dyDescent="0.25">
      <c r="A17" s="44">
        <v>21060</v>
      </c>
      <c r="B17" s="17" t="b">
        <v>1</v>
      </c>
      <c r="C17" s="8" t="s">
        <v>192</v>
      </c>
      <c r="D17" t="s">
        <v>193</v>
      </c>
      <c r="E17" t="s">
        <v>42</v>
      </c>
      <c r="F17" t="s">
        <v>55</v>
      </c>
      <c r="G17" s="28" t="s">
        <v>194</v>
      </c>
      <c r="H17" s="28" t="str">
        <f>MID(Table13[[#This Row],[Centroid Coordinates]], 14+1, LEN(Table13[[#This Row],[Centroid Coordinates]]) - (14+1))</f>
        <v>43.7000640</v>
      </c>
      <c r="I17" s="28" t="str">
        <f>MID(Table13[[#This Row],[Centroid Coordinates]], 1+1, LEN(Table13[[#This Row],[Centroid Coordinates]]) - (1+13))</f>
        <v>-79.5151872</v>
      </c>
      <c r="J17" t="s">
        <v>195</v>
      </c>
      <c r="K17" t="s">
        <v>196</v>
      </c>
      <c r="L17" t="s">
        <v>71</v>
      </c>
      <c r="M17" t="s">
        <v>188</v>
      </c>
      <c r="N17">
        <v>5</v>
      </c>
      <c r="O17" t="s">
        <v>197</v>
      </c>
      <c r="P17" t="s">
        <v>178</v>
      </c>
      <c r="Q17" s="19" t="s">
        <v>198</v>
      </c>
      <c r="R17">
        <v>2021</v>
      </c>
      <c r="S17">
        <v>2023</v>
      </c>
      <c r="T17">
        <v>2023</v>
      </c>
      <c r="U17" t="s">
        <v>49</v>
      </c>
      <c r="V17" t="s">
        <v>50</v>
      </c>
      <c r="W17">
        <v>1032</v>
      </c>
      <c r="X17">
        <v>0</v>
      </c>
      <c r="Y17">
        <v>0</v>
      </c>
      <c r="Z17">
        <v>5300</v>
      </c>
      <c r="AA17">
        <v>4800</v>
      </c>
      <c r="AB17">
        <v>15.01</v>
      </c>
      <c r="AC17" t="s">
        <v>199</v>
      </c>
      <c r="AD17" t="s">
        <v>200</v>
      </c>
      <c r="AE17">
        <v>4447</v>
      </c>
      <c r="AF17" t="s">
        <v>201</v>
      </c>
      <c r="AG17" s="10" t="s">
        <v>202</v>
      </c>
      <c r="AH17" t="s">
        <v>203</v>
      </c>
    </row>
    <row r="18" spans="1:34" x14ac:dyDescent="0.25">
      <c r="A18" s="44">
        <v>21060</v>
      </c>
      <c r="B18" s="17" t="b">
        <v>1</v>
      </c>
      <c r="C18" s="8" t="s">
        <v>192</v>
      </c>
      <c r="D18" t="s">
        <v>193</v>
      </c>
      <c r="E18" t="s">
        <v>42</v>
      </c>
      <c r="F18" t="s">
        <v>55</v>
      </c>
      <c r="G18" s="28" t="s">
        <v>204</v>
      </c>
      <c r="H18" s="28" t="str">
        <f>MID(Table13[[#This Row],[Centroid Coordinates]], 14+1, LEN(Table13[[#This Row],[Centroid Coordinates]]) - (14+1))</f>
        <v>43.7001041</v>
      </c>
      <c r="I18" s="28" t="str">
        <f>MID(Table13[[#This Row],[Centroid Coordinates]], 1+1, LEN(Table13[[#This Row],[Centroid Coordinates]]) - (1+13))</f>
        <v>-79.5154838</v>
      </c>
      <c r="J18" t="s">
        <v>205</v>
      </c>
      <c r="K18" t="s">
        <v>196</v>
      </c>
      <c r="L18" t="s">
        <v>71</v>
      </c>
      <c r="M18" t="s">
        <v>188</v>
      </c>
      <c r="N18">
        <v>5</v>
      </c>
      <c r="O18" t="s">
        <v>197</v>
      </c>
      <c r="P18" t="s">
        <v>178</v>
      </c>
      <c r="Q18" s="19" t="s">
        <v>198</v>
      </c>
      <c r="R18">
        <v>2021</v>
      </c>
      <c r="S18">
        <v>2023</v>
      </c>
      <c r="T18">
        <v>2023</v>
      </c>
      <c r="U18" t="s">
        <v>49</v>
      </c>
      <c r="V18" t="s">
        <v>50</v>
      </c>
      <c r="W18">
        <v>1032</v>
      </c>
      <c r="X18">
        <v>0</v>
      </c>
      <c r="Y18">
        <v>0</v>
      </c>
      <c r="Z18">
        <v>5300</v>
      </c>
      <c r="AA18">
        <v>4800</v>
      </c>
      <c r="AB18">
        <v>15.01</v>
      </c>
      <c r="AC18" t="s">
        <v>199</v>
      </c>
      <c r="AD18" t="s">
        <v>200</v>
      </c>
      <c r="AE18">
        <v>4447</v>
      </c>
      <c r="AF18" t="s">
        <v>201</v>
      </c>
      <c r="AG18" s="10" t="s">
        <v>202</v>
      </c>
      <c r="AH18" t="s">
        <v>203</v>
      </c>
    </row>
    <row r="19" spans="1:34" x14ac:dyDescent="0.25">
      <c r="A19" s="44">
        <v>21060</v>
      </c>
      <c r="B19" s="17" t="b">
        <v>1</v>
      </c>
      <c r="C19" s="8" t="s">
        <v>192</v>
      </c>
      <c r="D19" t="s">
        <v>193</v>
      </c>
      <c r="E19" t="s">
        <v>42</v>
      </c>
      <c r="F19" t="s">
        <v>55</v>
      </c>
      <c r="G19" s="28" t="s">
        <v>206</v>
      </c>
      <c r="H19" s="28" t="str">
        <f>MID(Table13[[#This Row],[Centroid Coordinates]], 14+1, LEN(Table13[[#This Row],[Centroid Coordinates]]) - (14+1))</f>
        <v>43.7001090</v>
      </c>
      <c r="I19" s="28" t="str">
        <f>MID(Table13[[#This Row],[Centroid Coordinates]], 1+1, LEN(Table13[[#This Row],[Centroid Coordinates]]) - (1+13))</f>
        <v>-79.5156786</v>
      </c>
      <c r="J19" t="s">
        <v>207</v>
      </c>
      <c r="K19" t="s">
        <v>196</v>
      </c>
      <c r="L19" t="s">
        <v>71</v>
      </c>
      <c r="M19" t="s">
        <v>188</v>
      </c>
      <c r="N19">
        <v>5</v>
      </c>
      <c r="O19" t="s">
        <v>197</v>
      </c>
      <c r="P19" t="s">
        <v>178</v>
      </c>
      <c r="Q19" s="19" t="s">
        <v>198</v>
      </c>
      <c r="R19">
        <v>2021</v>
      </c>
      <c r="S19">
        <v>2023</v>
      </c>
      <c r="T19">
        <v>2023</v>
      </c>
      <c r="U19" t="s">
        <v>49</v>
      </c>
      <c r="V19" t="s">
        <v>50</v>
      </c>
      <c r="W19">
        <v>1032</v>
      </c>
      <c r="X19">
        <v>0</v>
      </c>
      <c r="Y19">
        <v>0</v>
      </c>
      <c r="Z19">
        <v>5300</v>
      </c>
      <c r="AA19">
        <v>4800</v>
      </c>
      <c r="AB19">
        <v>15.01</v>
      </c>
      <c r="AC19" t="s">
        <v>199</v>
      </c>
      <c r="AD19" t="s">
        <v>200</v>
      </c>
      <c r="AE19">
        <v>4447</v>
      </c>
      <c r="AF19" t="s">
        <v>201</v>
      </c>
      <c r="AG19" s="10" t="s">
        <v>202</v>
      </c>
      <c r="AH19" t="s">
        <v>203</v>
      </c>
    </row>
    <row r="20" spans="1:34" x14ac:dyDescent="0.25">
      <c r="A20" s="43">
        <v>18003</v>
      </c>
      <c r="B20" s="17" t="b">
        <v>1</v>
      </c>
      <c r="C20" s="26" t="s">
        <v>208</v>
      </c>
      <c r="D20" t="s">
        <v>209</v>
      </c>
      <c r="E20" t="s">
        <v>42</v>
      </c>
      <c r="F20" t="s">
        <v>43</v>
      </c>
      <c r="G20" s="28" t="s">
        <v>210</v>
      </c>
      <c r="H20" s="28" t="str">
        <f>MID(Table13[[#This Row],[Centroid Coordinates]], 14+1, LEN(Table13[[#This Row],[Centroid Coordinates]]) - (14+1))</f>
        <v>43.6531766</v>
      </c>
      <c r="I20" s="28" t="str">
        <f>MID(Table13[[#This Row],[Centroid Coordinates]], 1+1, LEN(Table13[[#This Row],[Centroid Coordinates]]) - (1+13))</f>
        <v>-79.3660876</v>
      </c>
      <c r="J20" t="s">
        <v>211</v>
      </c>
      <c r="K20" s="19"/>
      <c r="L20" t="s">
        <v>71</v>
      </c>
      <c r="M20" t="s">
        <v>188</v>
      </c>
      <c r="N20">
        <v>13</v>
      </c>
      <c r="O20" t="s">
        <v>178</v>
      </c>
      <c r="P20" t="s">
        <v>178</v>
      </c>
      <c r="Q20" t="s">
        <v>178</v>
      </c>
      <c r="R20" t="s">
        <v>48</v>
      </c>
      <c r="S20">
        <v>2023</v>
      </c>
      <c r="T20">
        <v>2023</v>
      </c>
      <c r="U20" t="s">
        <v>62</v>
      </c>
      <c r="V20" t="s">
        <v>50</v>
      </c>
      <c r="W20">
        <v>1094</v>
      </c>
      <c r="X20">
        <v>0</v>
      </c>
      <c r="Y20">
        <v>0</v>
      </c>
      <c r="Z20">
        <v>17000</v>
      </c>
      <c r="AA20">
        <v>6350</v>
      </c>
      <c r="AB20">
        <v>11.6</v>
      </c>
      <c r="AC20" t="s">
        <v>212</v>
      </c>
      <c r="AD20" t="s">
        <v>213</v>
      </c>
      <c r="AE20">
        <v>6953</v>
      </c>
      <c r="AF20" t="s">
        <v>214</v>
      </c>
      <c r="AG20" s="10" t="s">
        <v>215</v>
      </c>
      <c r="AH20" t="s">
        <v>216</v>
      </c>
    </row>
    <row r="21" spans="1:34" x14ac:dyDescent="0.25">
      <c r="A21" s="43">
        <v>20056</v>
      </c>
      <c r="B21" s="17" t="b">
        <v>1</v>
      </c>
      <c r="C21" s="8" t="s">
        <v>217</v>
      </c>
      <c r="D21" t="s">
        <v>218</v>
      </c>
      <c r="E21" t="s">
        <v>42</v>
      </c>
      <c r="F21" t="s">
        <v>55</v>
      </c>
      <c r="G21" s="28" t="s">
        <v>219</v>
      </c>
      <c r="H21" s="28" t="str">
        <f>MID(Table13[[#This Row],[Centroid Coordinates]], 14+1, LEN(Table13[[#This Row],[Centroid Coordinates]]) - (14+1))</f>
        <v>43.6452977</v>
      </c>
      <c r="I21" s="28" t="str">
        <f>MID(Table13[[#This Row],[Centroid Coordinates]], 1+1, LEN(Table13[[#This Row],[Centroid Coordinates]]) - (1+13))</f>
        <v>-79.4299833</v>
      </c>
      <c r="J21" t="s">
        <v>220</v>
      </c>
      <c r="K21" t="s">
        <v>141</v>
      </c>
      <c r="L21" t="s">
        <v>71</v>
      </c>
      <c r="M21" t="s">
        <v>188</v>
      </c>
      <c r="N21">
        <v>9</v>
      </c>
      <c r="O21" t="s">
        <v>221</v>
      </c>
      <c r="P21" t="s">
        <v>143</v>
      </c>
      <c r="Q21" t="s">
        <v>222</v>
      </c>
      <c r="R21">
        <v>2020</v>
      </c>
      <c r="S21">
        <v>2025</v>
      </c>
      <c r="T21">
        <v>2025</v>
      </c>
      <c r="U21" t="s">
        <v>49</v>
      </c>
      <c r="V21" t="s">
        <v>50</v>
      </c>
      <c r="W21">
        <v>175</v>
      </c>
      <c r="X21">
        <v>3.42</v>
      </c>
      <c r="Y21">
        <v>6</v>
      </c>
      <c r="Z21" t="s">
        <v>63</v>
      </c>
      <c r="AA21">
        <v>364</v>
      </c>
      <c r="AB21">
        <v>8.4</v>
      </c>
      <c r="AC21">
        <v>67</v>
      </c>
      <c r="AD21">
        <v>18</v>
      </c>
      <c r="AE21">
        <v>1495</v>
      </c>
      <c r="AF21" t="s">
        <v>223</v>
      </c>
      <c r="AG21" s="10" t="s">
        <v>224</v>
      </c>
      <c r="AH21" t="s">
        <v>184</v>
      </c>
    </row>
    <row r="22" spans="1:34" ht="16.5" x14ac:dyDescent="0.35">
      <c r="A22" s="43">
        <v>22023</v>
      </c>
      <c r="B22" s="17" t="b">
        <v>1</v>
      </c>
      <c r="C22" t="s">
        <v>225</v>
      </c>
      <c r="D22" t="s">
        <v>226</v>
      </c>
      <c r="E22" t="s">
        <v>42</v>
      </c>
      <c r="F22" t="s">
        <v>55</v>
      </c>
      <c r="G22" s="28" t="s">
        <v>227</v>
      </c>
      <c r="H22" s="28" t="str">
        <f>MID(Table13[[#This Row],[Centroid Coordinates]], 14+1, LEN(Table13[[#This Row],[Centroid Coordinates]]) - (14+1))</f>
        <v>43.7224243</v>
      </c>
      <c r="I22" s="28" t="str">
        <f>MID(Table13[[#This Row],[Centroid Coordinates]], 1+1, LEN(Table13[[#This Row],[Centroid Coordinates]]) - (1+13))</f>
        <v>-79.3267403</v>
      </c>
      <c r="J22" s="12" t="s">
        <v>228</v>
      </c>
      <c r="K22" t="s">
        <v>229</v>
      </c>
      <c r="L22" t="s">
        <v>46</v>
      </c>
      <c r="N22">
        <v>16</v>
      </c>
      <c r="O22" t="s">
        <v>230</v>
      </c>
      <c r="P22" t="s">
        <v>231</v>
      </c>
      <c r="Q22" t="s">
        <v>232</v>
      </c>
      <c r="R22" s="31">
        <v>2022</v>
      </c>
      <c r="S22" s="31" t="s">
        <v>104</v>
      </c>
      <c r="T22">
        <v>2025</v>
      </c>
      <c r="U22" t="s">
        <v>233</v>
      </c>
      <c r="V22" t="s">
        <v>234</v>
      </c>
      <c r="W22" s="31"/>
      <c r="X22" s="31"/>
      <c r="Y22" s="31"/>
      <c r="Z22" s="31"/>
      <c r="AA22" s="31"/>
      <c r="AB22" s="19"/>
      <c r="AC22" s="19"/>
      <c r="AD22" s="19"/>
      <c r="AE22" s="19"/>
      <c r="AF22" s="19" t="s">
        <v>235</v>
      </c>
      <c r="AG22" s="10" t="s">
        <v>236</v>
      </c>
      <c r="AH22" t="s">
        <v>237</v>
      </c>
    </row>
    <row r="23" spans="1:34" x14ac:dyDescent="0.25">
      <c r="A23" s="43">
        <v>13012</v>
      </c>
      <c r="B23" s="17" t="b">
        <v>1</v>
      </c>
      <c r="C23" t="s">
        <v>238</v>
      </c>
      <c r="D23" t="s">
        <v>239</v>
      </c>
      <c r="E23" t="s">
        <v>42</v>
      </c>
      <c r="F23" t="s">
        <v>55</v>
      </c>
      <c r="G23" s="28" t="s">
        <v>240</v>
      </c>
      <c r="H23" s="28" t="str">
        <f>MID(Table13[[#This Row],[Centroid Coordinates]], 14+1, LEN(Table13[[#This Row],[Centroid Coordinates]]) - (14+1))</f>
        <v>43.6424009</v>
      </c>
      <c r="I23" s="28" t="str">
        <f>MID(Table13[[#This Row],[Centroid Coordinates]], 1+1, LEN(Table13[[#This Row],[Centroid Coordinates]]) - (1+13))</f>
        <v>-79.3968332</v>
      </c>
      <c r="J23" t="s">
        <v>241</v>
      </c>
      <c r="K23" t="s">
        <v>131</v>
      </c>
      <c r="L23" t="s">
        <v>242</v>
      </c>
      <c r="M23" t="s">
        <v>188</v>
      </c>
      <c r="N23">
        <v>10</v>
      </c>
      <c r="O23" t="s">
        <v>243</v>
      </c>
      <c r="P23" s="19"/>
      <c r="Q23" s="19"/>
      <c r="R23">
        <v>2012</v>
      </c>
      <c r="S23">
        <v>2017</v>
      </c>
      <c r="T23">
        <v>2017</v>
      </c>
      <c r="U23" t="s">
        <v>49</v>
      </c>
      <c r="V23" t="s">
        <v>50</v>
      </c>
      <c r="W23">
        <v>1537</v>
      </c>
      <c r="X23">
        <v>0</v>
      </c>
      <c r="Y23">
        <v>0</v>
      </c>
      <c r="Z23" t="s">
        <v>63</v>
      </c>
      <c r="AA23">
        <v>65000</v>
      </c>
      <c r="AB23">
        <v>9.5</v>
      </c>
      <c r="AC23" t="s">
        <v>244</v>
      </c>
      <c r="AD23" t="s">
        <v>245</v>
      </c>
      <c r="AE23">
        <v>31051</v>
      </c>
      <c r="AF23" t="s">
        <v>246</v>
      </c>
      <c r="AG23" s="10" t="s">
        <v>247</v>
      </c>
      <c r="AH23" t="s">
        <v>248</v>
      </c>
    </row>
    <row r="24" spans="1:34" x14ac:dyDescent="0.25">
      <c r="A24" s="43" t="s">
        <v>249</v>
      </c>
      <c r="B24" s="17" t="b">
        <v>1</v>
      </c>
      <c r="C24" t="s">
        <v>250</v>
      </c>
      <c r="D24" t="s">
        <v>251</v>
      </c>
      <c r="E24" t="s">
        <v>99</v>
      </c>
      <c r="F24" t="s">
        <v>43</v>
      </c>
      <c r="G24" s="28" t="s">
        <v>252</v>
      </c>
      <c r="H24" s="28" t="str">
        <f>MID(Table13[[#This Row],[Centroid Coordinates]], 14+1, LEN(Table13[[#This Row],[Centroid Coordinates]]) - (14+1))</f>
        <v>43.7499423</v>
      </c>
      <c r="I24" s="28" t="str">
        <f>MID(Table13[[#This Row],[Centroid Coordinates]], 1+1, LEN(Table13[[#This Row],[Centroid Coordinates]]) - (1+13))</f>
        <v>-79.4793688</v>
      </c>
      <c r="J24" t="s">
        <v>253</v>
      </c>
      <c r="K24" t="s">
        <v>131</v>
      </c>
      <c r="L24" t="s">
        <v>46</v>
      </c>
      <c r="M24" t="s">
        <v>188</v>
      </c>
      <c r="N24">
        <v>6</v>
      </c>
      <c r="O24" t="s">
        <v>254</v>
      </c>
      <c r="P24" t="s">
        <v>114</v>
      </c>
      <c r="Q24" t="s">
        <v>133</v>
      </c>
      <c r="R24" s="31" t="s">
        <v>48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 t="s">
        <v>255</v>
      </c>
      <c r="AG24" s="10" t="s">
        <v>63</v>
      </c>
      <c r="AH24" t="s">
        <v>256</v>
      </c>
    </row>
    <row r="25" spans="1:34" x14ac:dyDescent="0.25">
      <c r="A25" s="43">
        <v>17050</v>
      </c>
      <c r="B25" s="17" t="b">
        <v>1</v>
      </c>
      <c r="C25" t="s">
        <v>257</v>
      </c>
      <c r="D25" t="s">
        <v>258</v>
      </c>
      <c r="E25" t="s">
        <v>42</v>
      </c>
      <c r="F25" t="s">
        <v>55</v>
      </c>
      <c r="G25" s="28" t="s">
        <v>259</v>
      </c>
      <c r="H25" s="28" t="str">
        <f>MID(Table13[[#This Row],[Centroid Coordinates]], 14+1, LEN(Table13[[#This Row],[Centroid Coordinates]]) - (14+1))</f>
        <v>43.6477327</v>
      </c>
      <c r="I25" s="28" t="str">
        <f>MID(Table13[[#This Row],[Centroid Coordinates]], 1+1, LEN(Table13[[#This Row],[Centroid Coordinates]]) - (1+13))</f>
        <v>-79.3798811</v>
      </c>
      <c r="J25" t="s">
        <v>260</v>
      </c>
      <c r="K25" t="s">
        <v>261</v>
      </c>
      <c r="L25" t="s">
        <v>242</v>
      </c>
      <c r="M25" t="s">
        <v>47</v>
      </c>
      <c r="N25">
        <v>13</v>
      </c>
      <c r="O25" t="s">
        <v>262</v>
      </c>
      <c r="P25" t="s">
        <v>263</v>
      </c>
      <c r="Q25" t="s">
        <v>123</v>
      </c>
      <c r="R25">
        <v>2017</v>
      </c>
      <c r="S25">
        <v>2019</v>
      </c>
      <c r="T25">
        <v>2019</v>
      </c>
      <c r="U25" t="s">
        <v>62</v>
      </c>
      <c r="V25" t="s">
        <v>50</v>
      </c>
      <c r="W25" t="s">
        <v>63</v>
      </c>
      <c r="X25" t="s">
        <v>63</v>
      </c>
      <c r="Y25" t="s">
        <v>63</v>
      </c>
      <c r="Z25">
        <v>80000</v>
      </c>
      <c r="AA25" t="s">
        <v>63</v>
      </c>
      <c r="AB25" s="34"/>
      <c r="AC25" t="s">
        <v>264</v>
      </c>
      <c r="AD25" t="s">
        <v>265</v>
      </c>
      <c r="AE25" s="31"/>
      <c r="AF25" t="s">
        <v>266</v>
      </c>
      <c r="AG25" s="10" t="s">
        <v>267</v>
      </c>
      <c r="AH25" t="s">
        <v>268</v>
      </c>
    </row>
    <row r="26" spans="1:34" x14ac:dyDescent="0.25">
      <c r="A26" s="43">
        <v>18078</v>
      </c>
      <c r="B26" s="17" t="b">
        <v>1</v>
      </c>
      <c r="C26" s="31" t="s">
        <v>269</v>
      </c>
      <c r="D26" t="s">
        <v>258</v>
      </c>
      <c r="E26" t="s">
        <v>42</v>
      </c>
      <c r="F26" t="s">
        <v>55</v>
      </c>
      <c r="G26" s="28" t="s">
        <v>270</v>
      </c>
      <c r="H26" s="28" t="str">
        <f>MID(Table13[[#This Row],[Centroid Coordinates]], 14+1, LEN(Table13[[#This Row],[Centroid Coordinates]]) - (14+1))</f>
        <v>43.6305826</v>
      </c>
      <c r="I26" s="28" t="str">
        <f>MID(Table13[[#This Row],[Centroid Coordinates]], 1+1, LEN(Table13[[#This Row],[Centroid Coordinates]]) - (1+13))</f>
        <v>-79.5552916</v>
      </c>
      <c r="J26" t="s">
        <v>271</v>
      </c>
      <c r="K26" t="s">
        <v>131</v>
      </c>
      <c r="L26" t="s">
        <v>242</v>
      </c>
      <c r="M26" t="s">
        <v>188</v>
      </c>
      <c r="N26">
        <v>3</v>
      </c>
      <c r="O26" t="s">
        <v>272</v>
      </c>
      <c r="P26" t="s">
        <v>178</v>
      </c>
      <c r="Q26" t="s">
        <v>273</v>
      </c>
      <c r="R26" s="19">
        <v>2018</v>
      </c>
      <c r="S26" s="19" t="s">
        <v>104</v>
      </c>
      <c r="T26" t="s">
        <v>274</v>
      </c>
      <c r="U26" t="s">
        <v>275</v>
      </c>
      <c r="V26" t="s">
        <v>234</v>
      </c>
      <c r="W26" s="19"/>
      <c r="X26" s="19"/>
      <c r="Y26" s="19"/>
      <c r="Z26" s="19"/>
      <c r="AA26" s="19"/>
      <c r="AB26" s="19"/>
      <c r="AC26" s="19"/>
      <c r="AD26" t="s">
        <v>276</v>
      </c>
      <c r="AE26" s="19"/>
      <c r="AF26" s="31" t="s">
        <v>63</v>
      </c>
      <c r="AG26" s="10" t="s">
        <v>277</v>
      </c>
      <c r="AH26" t="s">
        <v>278</v>
      </c>
    </row>
    <row r="27" spans="1:34" x14ac:dyDescent="0.25">
      <c r="A27" s="43">
        <v>20060</v>
      </c>
      <c r="B27" s="17" t="b">
        <v>1</v>
      </c>
      <c r="C27" t="s">
        <v>279</v>
      </c>
      <c r="D27" t="s">
        <v>280</v>
      </c>
      <c r="E27" t="s">
        <v>42</v>
      </c>
      <c r="F27" t="s">
        <v>55</v>
      </c>
      <c r="G27" s="28" t="s">
        <v>281</v>
      </c>
      <c r="H27" s="28" t="str">
        <f>MID(Table13[[#This Row],[Centroid Coordinates]], 14+1, LEN(Table13[[#This Row],[Centroid Coordinates]]) - (14+1))</f>
        <v>43.7778776</v>
      </c>
      <c r="I27" s="28" t="str">
        <f>MID(Table13[[#This Row],[Centroid Coordinates]], 1+1, LEN(Table13[[#This Row],[Centroid Coordinates]]) - (1+13))</f>
        <v>-79.3432322</v>
      </c>
      <c r="J27" t="s">
        <v>282</v>
      </c>
      <c r="K27" t="s">
        <v>283</v>
      </c>
      <c r="L27" t="s">
        <v>284</v>
      </c>
      <c r="M27" t="s">
        <v>188</v>
      </c>
      <c r="N27">
        <v>17</v>
      </c>
      <c r="O27" t="s">
        <v>285</v>
      </c>
      <c r="P27" t="s">
        <v>286</v>
      </c>
      <c r="Q27" t="s">
        <v>287</v>
      </c>
      <c r="R27">
        <v>2020</v>
      </c>
      <c r="S27">
        <v>2024</v>
      </c>
      <c r="T27">
        <v>2024</v>
      </c>
      <c r="U27" t="s">
        <v>288</v>
      </c>
      <c r="V27" t="s">
        <v>50</v>
      </c>
      <c r="W27">
        <v>6200</v>
      </c>
      <c r="X27" t="s">
        <v>63</v>
      </c>
      <c r="Y27" t="s">
        <v>63</v>
      </c>
      <c r="Z27" t="s">
        <v>63</v>
      </c>
      <c r="AA27" t="s">
        <v>63</v>
      </c>
      <c r="AB27">
        <v>2.81</v>
      </c>
      <c r="AC27">
        <v>179</v>
      </c>
      <c r="AD27" t="s">
        <v>289</v>
      </c>
      <c r="AE27">
        <v>188261</v>
      </c>
      <c r="AF27" t="s">
        <v>290</v>
      </c>
      <c r="AG27" s="10" t="s">
        <v>291</v>
      </c>
      <c r="AH27" t="s">
        <v>292</v>
      </c>
    </row>
    <row r="28" spans="1:34" x14ac:dyDescent="0.25">
      <c r="A28" s="43">
        <v>18070</v>
      </c>
      <c r="B28" s="17" t="b">
        <v>1</v>
      </c>
      <c r="C28" t="s">
        <v>293</v>
      </c>
      <c r="D28" t="s">
        <v>294</v>
      </c>
      <c r="E28" t="s">
        <v>42</v>
      </c>
      <c r="F28" t="s">
        <v>295</v>
      </c>
      <c r="G28" s="28" t="s">
        <v>296</v>
      </c>
      <c r="H28" s="28" t="str">
        <f>MID(Table13[[#This Row],[Centroid Coordinates]], 14+1, LEN(Table13[[#This Row],[Centroid Coordinates]]) - (14+1))</f>
        <v>43.7565924</v>
      </c>
      <c r="I28" s="28" t="str">
        <f>MID(Table13[[#This Row],[Centroid Coordinates]], 1+1, LEN(Table13[[#This Row],[Centroid Coordinates]]) - (1+13))</f>
        <v>-79.5149534</v>
      </c>
      <c r="J28" t="s">
        <v>297</v>
      </c>
      <c r="K28" t="s">
        <v>298</v>
      </c>
      <c r="L28" t="s">
        <v>284</v>
      </c>
      <c r="M28" t="s">
        <v>188</v>
      </c>
      <c r="N28">
        <v>7</v>
      </c>
      <c r="O28" t="s">
        <v>299</v>
      </c>
      <c r="P28" t="s">
        <v>300</v>
      </c>
      <c r="Q28" t="s">
        <v>301</v>
      </c>
      <c r="R28">
        <v>2018</v>
      </c>
      <c r="S28">
        <v>2024</v>
      </c>
      <c r="T28">
        <v>2024</v>
      </c>
      <c r="U28" t="s">
        <v>49</v>
      </c>
      <c r="V28" t="s">
        <v>50</v>
      </c>
      <c r="W28">
        <v>4636</v>
      </c>
      <c r="X28" t="s">
        <v>63</v>
      </c>
      <c r="Y28" t="s">
        <v>63</v>
      </c>
      <c r="Z28" t="s">
        <v>63</v>
      </c>
      <c r="AA28" t="s">
        <v>63</v>
      </c>
      <c r="AB28">
        <v>4.99</v>
      </c>
      <c r="AC28" t="s">
        <v>302</v>
      </c>
      <c r="AD28" t="s">
        <v>303</v>
      </c>
      <c r="AE28">
        <v>32185</v>
      </c>
      <c r="AF28" t="s">
        <v>304</v>
      </c>
      <c r="AG28" s="10" t="s">
        <v>305</v>
      </c>
    </row>
    <row r="29" spans="1:34" x14ac:dyDescent="0.25">
      <c r="A29" s="43">
        <v>22054</v>
      </c>
      <c r="B29" s="17" t="b">
        <v>1</v>
      </c>
      <c r="C29" s="31" t="s">
        <v>306</v>
      </c>
      <c r="D29" t="s">
        <v>307</v>
      </c>
      <c r="E29" t="s">
        <v>42</v>
      </c>
      <c r="F29" t="s">
        <v>295</v>
      </c>
      <c r="G29" s="28" t="s">
        <v>308</v>
      </c>
      <c r="H29" s="28" t="str">
        <f>MID(Table13[[#This Row],[Centroid Coordinates]], 14+1, LEN(Table13[[#This Row],[Centroid Coordinates]]) - (14+1))</f>
        <v>43.6751576</v>
      </c>
      <c r="I29" s="28" t="str">
        <f>MID(Table13[[#This Row],[Centroid Coordinates]], 1+1, LEN(Table13[[#This Row],[Centroid Coordinates]]) - (1+13))</f>
        <v>-79.4147526</v>
      </c>
      <c r="J29" t="s">
        <v>309</v>
      </c>
      <c r="K29" t="s">
        <v>310</v>
      </c>
      <c r="L29" t="s">
        <v>284</v>
      </c>
      <c r="M29" t="s">
        <v>188</v>
      </c>
      <c r="N29">
        <v>12</v>
      </c>
      <c r="O29" t="s">
        <v>311</v>
      </c>
      <c r="P29" s="27"/>
      <c r="Q29" s="27"/>
      <c r="R29" s="31">
        <v>2020</v>
      </c>
      <c r="S29" s="9" t="s">
        <v>104</v>
      </c>
      <c r="T29">
        <v>2024</v>
      </c>
      <c r="U29" t="s">
        <v>62</v>
      </c>
      <c r="V29" t="s">
        <v>50</v>
      </c>
      <c r="W29" s="31"/>
      <c r="X29" s="31"/>
      <c r="Y29" s="31"/>
      <c r="Z29" s="31"/>
      <c r="AA29" s="31"/>
      <c r="AB29">
        <v>10.6</v>
      </c>
      <c r="AC29" t="s">
        <v>312</v>
      </c>
      <c r="AD29" t="s">
        <v>313</v>
      </c>
      <c r="AE29">
        <v>18240</v>
      </c>
      <c r="AF29" s="9"/>
      <c r="AG29" s="10" t="s">
        <v>314</v>
      </c>
      <c r="AH29" t="s">
        <v>315</v>
      </c>
    </row>
    <row r="30" spans="1:34" x14ac:dyDescent="0.25">
      <c r="A30" s="44">
        <v>21079</v>
      </c>
      <c r="B30" s="17" t="b">
        <v>1</v>
      </c>
      <c r="C30" t="s">
        <v>316</v>
      </c>
      <c r="D30" t="s">
        <v>317</v>
      </c>
      <c r="E30" t="s">
        <v>42</v>
      </c>
      <c r="F30" t="s">
        <v>295</v>
      </c>
      <c r="G30" s="28" t="s">
        <v>318</v>
      </c>
      <c r="H30" s="28" t="str">
        <f>MID(Table13[[#This Row],[Centroid Coordinates]], 14+1, LEN(Table13[[#This Row],[Centroid Coordinates]]) - (14+1))</f>
        <v>43.6466171</v>
      </c>
      <c r="I30" s="28" t="str">
        <f>MID(Table13[[#This Row],[Centroid Coordinates]], 1+1, LEN(Table13[[#This Row],[Centroid Coordinates]]) - (1+13))</f>
        <v>-79.3632410</v>
      </c>
      <c r="J30" t="s">
        <v>319</v>
      </c>
      <c r="K30" t="s">
        <v>320</v>
      </c>
      <c r="L30" t="s">
        <v>321</v>
      </c>
      <c r="M30" t="s">
        <v>188</v>
      </c>
      <c r="N30">
        <v>10</v>
      </c>
      <c r="O30" t="s">
        <v>322</v>
      </c>
      <c r="P30" t="s">
        <v>178</v>
      </c>
      <c r="Q30" t="s">
        <v>73</v>
      </c>
      <c r="R30">
        <v>2021</v>
      </c>
      <c r="S30">
        <v>2024</v>
      </c>
      <c r="T30">
        <v>2024</v>
      </c>
      <c r="U30" t="s">
        <v>62</v>
      </c>
      <c r="V30" t="s">
        <v>50</v>
      </c>
      <c r="W30">
        <v>2811</v>
      </c>
      <c r="X30">
        <v>16.29</v>
      </c>
      <c r="Y30">
        <v>458</v>
      </c>
      <c r="Z30" t="s">
        <v>63</v>
      </c>
      <c r="AA30" t="s">
        <v>63</v>
      </c>
      <c r="AB30">
        <v>10.62</v>
      </c>
      <c r="AC30">
        <v>231</v>
      </c>
      <c r="AD30" t="s">
        <v>313</v>
      </c>
      <c r="AE30" s="11">
        <v>18240</v>
      </c>
      <c r="AF30" t="s">
        <v>323</v>
      </c>
      <c r="AG30" s="10" t="s">
        <v>324</v>
      </c>
      <c r="AH30" t="s">
        <v>325</v>
      </c>
    </row>
    <row r="31" spans="1:34" x14ac:dyDescent="0.25">
      <c r="A31" s="44">
        <v>21079</v>
      </c>
      <c r="B31" s="17" t="b">
        <v>1</v>
      </c>
      <c r="C31" t="s">
        <v>316</v>
      </c>
      <c r="D31" t="s">
        <v>317</v>
      </c>
      <c r="E31" t="s">
        <v>42</v>
      </c>
      <c r="F31" t="s">
        <v>295</v>
      </c>
      <c r="G31" s="28" t="s">
        <v>326</v>
      </c>
      <c r="H31" s="28" t="str">
        <f>MID(Table13[[#This Row],[Centroid Coordinates]], 14+1, LEN(Table13[[#This Row],[Centroid Coordinates]]) - (14+1))</f>
        <v>43.6469674</v>
      </c>
      <c r="I31" s="28" t="str">
        <f>MID(Table13[[#This Row],[Centroid Coordinates]], 1+1, LEN(Table13[[#This Row],[Centroid Coordinates]]) - (1+13))</f>
        <v>-79.3597922</v>
      </c>
      <c r="J31" t="s">
        <v>327</v>
      </c>
      <c r="K31" t="s">
        <v>320</v>
      </c>
      <c r="L31" t="s">
        <v>321</v>
      </c>
      <c r="M31" t="s">
        <v>188</v>
      </c>
      <c r="N31">
        <v>10</v>
      </c>
      <c r="O31" t="s">
        <v>322</v>
      </c>
      <c r="P31" t="s">
        <v>178</v>
      </c>
      <c r="Q31" t="s">
        <v>73</v>
      </c>
      <c r="R31" s="31">
        <v>2021</v>
      </c>
      <c r="S31" s="31">
        <v>2024</v>
      </c>
      <c r="T31">
        <v>2024</v>
      </c>
      <c r="U31" t="s">
        <v>62</v>
      </c>
      <c r="V31" t="s">
        <v>50</v>
      </c>
      <c r="W31">
        <v>2811</v>
      </c>
      <c r="X31">
        <v>16.29</v>
      </c>
      <c r="Y31">
        <v>458</v>
      </c>
      <c r="Z31" t="s">
        <v>63</v>
      </c>
      <c r="AA31" t="s">
        <v>63</v>
      </c>
      <c r="AB31">
        <v>10.62</v>
      </c>
      <c r="AC31">
        <v>231</v>
      </c>
      <c r="AD31" t="s">
        <v>313</v>
      </c>
      <c r="AE31" s="11">
        <v>18240</v>
      </c>
      <c r="AF31" t="s">
        <v>323</v>
      </c>
      <c r="AG31" s="10" t="s">
        <v>324</v>
      </c>
      <c r="AH31" t="s">
        <v>325</v>
      </c>
    </row>
    <row r="32" spans="1:34" x14ac:dyDescent="0.25">
      <c r="A32" s="43">
        <v>17021</v>
      </c>
      <c r="B32" s="17" t="b">
        <v>1</v>
      </c>
      <c r="C32" t="s">
        <v>328</v>
      </c>
      <c r="D32" t="s">
        <v>138</v>
      </c>
      <c r="E32" t="s">
        <v>42</v>
      </c>
      <c r="F32" t="s">
        <v>295</v>
      </c>
      <c r="G32" s="28" t="s">
        <v>329</v>
      </c>
      <c r="H32" s="28" t="str">
        <f>MID(Table13[[#This Row],[Centroid Coordinates]], 14+1, LEN(Table13[[#This Row],[Centroid Coordinates]]) - (14+1))</f>
        <v>43.7060136</v>
      </c>
      <c r="I32" s="28" t="str">
        <f>MID(Table13[[#This Row],[Centroid Coordinates]], 1+1, LEN(Table13[[#This Row],[Centroid Coordinates]]) - (1+13))</f>
        <v>-79.3984815</v>
      </c>
      <c r="J32" t="s">
        <v>330</v>
      </c>
      <c r="K32" t="s">
        <v>331</v>
      </c>
      <c r="L32" t="s">
        <v>58</v>
      </c>
      <c r="M32" t="s">
        <v>188</v>
      </c>
      <c r="N32">
        <v>12</v>
      </c>
      <c r="O32" t="s">
        <v>332</v>
      </c>
      <c r="P32" t="s">
        <v>263</v>
      </c>
      <c r="Q32" s="19" t="s">
        <v>333</v>
      </c>
      <c r="R32" s="31">
        <v>2017</v>
      </c>
      <c r="S32" t="s">
        <v>104</v>
      </c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 t="s">
        <v>63</v>
      </c>
      <c r="AG32" s="10" t="s">
        <v>334</v>
      </c>
      <c r="AH32" t="s">
        <v>335</v>
      </c>
    </row>
    <row r="33" spans="1:34" x14ac:dyDescent="0.25">
      <c r="A33" s="43">
        <v>20079</v>
      </c>
      <c r="B33" s="17" t="b">
        <v>1</v>
      </c>
      <c r="C33" s="19" t="s">
        <v>336</v>
      </c>
      <c r="D33" t="s">
        <v>337</v>
      </c>
      <c r="E33" t="s">
        <v>42</v>
      </c>
      <c r="F33" t="s">
        <v>295</v>
      </c>
      <c r="G33" s="28" t="s">
        <v>338</v>
      </c>
      <c r="H33" s="28" t="str">
        <f>MID(Table13[[#This Row],[Centroid Coordinates]], 14+1, LEN(Table13[[#This Row],[Centroid Coordinates]]) - (14+1))</f>
        <v>43.6374145</v>
      </c>
      <c r="I33" s="28" t="str">
        <f>MID(Table13[[#This Row],[Centroid Coordinates]], 1+1, LEN(Table13[[#This Row],[Centroid Coordinates]]) - (1+13))</f>
        <v>-79.3978928</v>
      </c>
      <c r="J33" t="s">
        <v>339</v>
      </c>
      <c r="K33" t="s">
        <v>70</v>
      </c>
      <c r="L33" t="s">
        <v>340</v>
      </c>
      <c r="M33" t="s">
        <v>188</v>
      </c>
      <c r="N33">
        <v>10</v>
      </c>
      <c r="O33" t="s">
        <v>114</v>
      </c>
      <c r="P33" s="19"/>
      <c r="Q33" s="19"/>
      <c r="R33" s="31">
        <v>2020</v>
      </c>
      <c r="S33" t="s">
        <v>104</v>
      </c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 t="s">
        <v>63</v>
      </c>
      <c r="AG33" s="10" t="s">
        <v>341</v>
      </c>
      <c r="AH33" t="s">
        <v>342</v>
      </c>
    </row>
    <row r="34" spans="1:34" x14ac:dyDescent="0.25">
      <c r="A34" s="43">
        <v>18088</v>
      </c>
      <c r="B34" s="17" t="b">
        <v>1</v>
      </c>
      <c r="C34" s="31" t="s">
        <v>343</v>
      </c>
      <c r="D34" t="s">
        <v>344</v>
      </c>
      <c r="E34" t="s">
        <v>42</v>
      </c>
      <c r="F34" t="s">
        <v>295</v>
      </c>
      <c r="G34" s="28" t="s">
        <v>345</v>
      </c>
      <c r="H34" s="28" t="str">
        <f>MID(Table13[[#This Row],[Centroid Coordinates]], 14+1, LEN(Table13[[#This Row],[Centroid Coordinates]]) - (14+1))</f>
        <v>43.6656687</v>
      </c>
      <c r="I34" s="28" t="str">
        <f>MID(Table13[[#This Row],[Centroid Coordinates]], 1+1, LEN(Table13[[#This Row],[Centroid Coordinates]]) - (1+13))</f>
        <v>-79.3168033</v>
      </c>
      <c r="J34" t="s">
        <v>346</v>
      </c>
      <c r="K34" t="s">
        <v>347</v>
      </c>
      <c r="L34" t="s">
        <v>58</v>
      </c>
      <c r="M34" t="s">
        <v>188</v>
      </c>
      <c r="N34">
        <v>14</v>
      </c>
      <c r="O34" t="s">
        <v>348</v>
      </c>
      <c r="P34" s="19"/>
      <c r="Q34" s="19"/>
      <c r="R34">
        <v>2018</v>
      </c>
      <c r="S34">
        <v>2020</v>
      </c>
      <c r="T34">
        <v>2020</v>
      </c>
      <c r="U34" t="s">
        <v>82</v>
      </c>
      <c r="V34" t="s">
        <v>50</v>
      </c>
      <c r="W34">
        <v>766</v>
      </c>
      <c r="Y34">
        <v>220</v>
      </c>
      <c r="Z34" t="s">
        <v>63</v>
      </c>
      <c r="AA34" t="s">
        <v>63</v>
      </c>
      <c r="AB34">
        <v>4.41</v>
      </c>
      <c r="AC34" t="s">
        <v>349</v>
      </c>
      <c r="AD34" t="s">
        <v>350</v>
      </c>
      <c r="AE34">
        <v>13422</v>
      </c>
      <c r="AF34" t="s">
        <v>351</v>
      </c>
      <c r="AG34" s="10" t="s">
        <v>352</v>
      </c>
      <c r="AH34" t="s">
        <v>353</v>
      </c>
    </row>
    <row r="35" spans="1:34" x14ac:dyDescent="0.25">
      <c r="A35" s="44">
        <v>18088</v>
      </c>
      <c r="B35" s="17" t="b">
        <v>1</v>
      </c>
      <c r="C35" t="s">
        <v>343</v>
      </c>
      <c r="D35" t="s">
        <v>344</v>
      </c>
      <c r="E35" t="s">
        <v>42</v>
      </c>
      <c r="F35" t="s">
        <v>295</v>
      </c>
      <c r="G35" s="28" t="s">
        <v>354</v>
      </c>
      <c r="H35" s="28" t="str">
        <f>MID(Table13[[#This Row],[Centroid Coordinates]], 14+1, LEN(Table13[[#This Row],[Centroid Coordinates]]) - (14+1))</f>
        <v>43.6654821</v>
      </c>
      <c r="I35" s="28" t="str">
        <f>MID(Table13[[#This Row],[Centroid Coordinates]], 1+1, LEN(Table13[[#This Row],[Centroid Coordinates]]) - (1+13))</f>
        <v>-79.3184975</v>
      </c>
      <c r="J35" t="s">
        <v>355</v>
      </c>
      <c r="K35" t="s">
        <v>347</v>
      </c>
      <c r="L35" t="s">
        <v>58</v>
      </c>
      <c r="M35" t="s">
        <v>188</v>
      </c>
      <c r="N35">
        <v>14</v>
      </c>
      <c r="O35" t="s">
        <v>348</v>
      </c>
      <c r="P35" s="19"/>
      <c r="Q35" s="19"/>
      <c r="R35">
        <v>2018</v>
      </c>
      <c r="S35">
        <v>2020</v>
      </c>
      <c r="T35">
        <v>2020</v>
      </c>
      <c r="U35" t="s">
        <v>82</v>
      </c>
      <c r="V35" t="s">
        <v>50</v>
      </c>
      <c r="W35">
        <v>766</v>
      </c>
      <c r="Y35">
        <v>220</v>
      </c>
      <c r="Z35" t="s">
        <v>63</v>
      </c>
      <c r="AA35" t="s">
        <v>63</v>
      </c>
      <c r="AB35">
        <v>4.41</v>
      </c>
      <c r="AC35" t="s">
        <v>349</v>
      </c>
      <c r="AD35" t="s">
        <v>350</v>
      </c>
      <c r="AE35">
        <v>13422</v>
      </c>
      <c r="AF35" t="s">
        <v>351</v>
      </c>
      <c r="AG35" s="10" t="s">
        <v>352</v>
      </c>
      <c r="AH35" t="s">
        <v>353</v>
      </c>
    </row>
    <row r="36" spans="1:34" x14ac:dyDescent="0.25">
      <c r="A36" s="44">
        <v>18088</v>
      </c>
      <c r="B36" s="17" t="b">
        <v>1</v>
      </c>
      <c r="C36" t="s">
        <v>343</v>
      </c>
      <c r="D36" t="s">
        <v>344</v>
      </c>
      <c r="E36" t="s">
        <v>42</v>
      </c>
      <c r="F36" t="s">
        <v>295</v>
      </c>
      <c r="G36" s="28" t="s">
        <v>356</v>
      </c>
      <c r="H36" s="28" t="str">
        <f>MID(Table13[[#This Row],[Centroid Coordinates]], 14+1, LEN(Table13[[#This Row],[Centroid Coordinates]]) - (14+1))</f>
        <v>43.6656125</v>
      </c>
      <c r="I36" s="28" t="str">
        <f>MID(Table13[[#This Row],[Centroid Coordinates]], 1+1, LEN(Table13[[#This Row],[Centroid Coordinates]]) - (1+13))</f>
        <v>-79.3178525</v>
      </c>
      <c r="J36" t="s">
        <v>357</v>
      </c>
      <c r="K36" t="s">
        <v>347</v>
      </c>
      <c r="L36" t="s">
        <v>58</v>
      </c>
      <c r="M36" t="s">
        <v>188</v>
      </c>
      <c r="N36">
        <v>14</v>
      </c>
      <c r="O36" t="s">
        <v>348</v>
      </c>
      <c r="P36" s="19"/>
      <c r="Q36" s="19"/>
      <c r="R36">
        <v>2018</v>
      </c>
      <c r="S36">
        <v>2020</v>
      </c>
      <c r="T36">
        <v>2020</v>
      </c>
      <c r="U36" t="s">
        <v>82</v>
      </c>
      <c r="V36" t="s">
        <v>50</v>
      </c>
      <c r="W36">
        <v>766</v>
      </c>
      <c r="Y36">
        <v>220</v>
      </c>
      <c r="Z36" t="s">
        <v>63</v>
      </c>
      <c r="AA36" t="s">
        <v>63</v>
      </c>
      <c r="AB36">
        <v>4.41</v>
      </c>
      <c r="AC36" t="s">
        <v>349</v>
      </c>
      <c r="AD36" t="s">
        <v>350</v>
      </c>
      <c r="AE36">
        <v>13422</v>
      </c>
      <c r="AF36" t="s">
        <v>351</v>
      </c>
      <c r="AG36" s="10" t="s">
        <v>352</v>
      </c>
      <c r="AH36" t="s">
        <v>353</v>
      </c>
    </row>
    <row r="37" spans="1:34" x14ac:dyDescent="0.25">
      <c r="A37" s="43">
        <v>16085</v>
      </c>
      <c r="B37" s="17" t="b">
        <v>1</v>
      </c>
      <c r="C37" t="s">
        <v>358</v>
      </c>
      <c r="D37" t="s">
        <v>138</v>
      </c>
      <c r="E37" t="s">
        <v>42</v>
      </c>
      <c r="F37" t="s">
        <v>295</v>
      </c>
      <c r="G37" s="28" t="s">
        <v>359</v>
      </c>
      <c r="H37" s="28" t="str">
        <f>MID(Table13[[#This Row],[Centroid Coordinates]], 14+1, LEN(Table13[[#This Row],[Centroid Coordinates]]) - (14+1))</f>
        <v>43.7785696</v>
      </c>
      <c r="I37" s="28" t="str">
        <f>MID(Table13[[#This Row],[Centroid Coordinates]], 1+1, LEN(Table13[[#This Row],[Centroid Coordinates]]) - (1+13))</f>
        <v>-79.2570532</v>
      </c>
      <c r="J37" t="s">
        <v>360</v>
      </c>
      <c r="K37" t="s">
        <v>131</v>
      </c>
      <c r="L37" t="s">
        <v>340</v>
      </c>
      <c r="M37" t="s">
        <v>47</v>
      </c>
      <c r="N37">
        <v>21</v>
      </c>
      <c r="O37" t="s">
        <v>361</v>
      </c>
      <c r="P37" t="s">
        <v>300</v>
      </c>
      <c r="Q37" t="s">
        <v>133</v>
      </c>
      <c r="R37">
        <v>2016</v>
      </c>
      <c r="S37">
        <v>2024</v>
      </c>
      <c r="T37">
        <v>2024</v>
      </c>
      <c r="U37" t="s">
        <v>362</v>
      </c>
      <c r="V37" t="s">
        <v>50</v>
      </c>
      <c r="W37">
        <v>15500</v>
      </c>
      <c r="X37" t="s">
        <v>63</v>
      </c>
      <c r="Y37" t="s">
        <v>63</v>
      </c>
      <c r="Z37" t="s">
        <v>63</v>
      </c>
      <c r="AA37" t="s">
        <v>63</v>
      </c>
      <c r="AB37">
        <v>3.6</v>
      </c>
      <c r="AC37" t="s">
        <v>63</v>
      </c>
      <c r="AD37">
        <v>65</v>
      </c>
      <c r="AE37">
        <v>370004</v>
      </c>
      <c r="AF37" t="s">
        <v>363</v>
      </c>
      <c r="AG37" s="10" t="s">
        <v>364</v>
      </c>
      <c r="AH37" t="s">
        <v>365</v>
      </c>
    </row>
    <row r="38" spans="1:34" x14ac:dyDescent="0.25">
      <c r="A38" s="43">
        <v>18033</v>
      </c>
      <c r="B38" s="17" t="b">
        <v>1</v>
      </c>
      <c r="C38" s="19" t="s">
        <v>366</v>
      </c>
      <c r="D38" t="s">
        <v>367</v>
      </c>
      <c r="E38" t="s">
        <v>42</v>
      </c>
      <c r="F38" t="s">
        <v>295</v>
      </c>
      <c r="G38" s="28" t="s">
        <v>368</v>
      </c>
      <c r="H38" s="28" t="str">
        <f>MID(Table13[[#This Row],[Centroid Coordinates]], 14+1, LEN(Table13[[#This Row],[Centroid Coordinates]]) - (14+1))</f>
        <v>43.6580205</v>
      </c>
      <c r="I38" s="28" t="str">
        <f>MID(Table13[[#This Row],[Centroid Coordinates]], 1+1, LEN(Table13[[#This Row],[Centroid Coordinates]]) - (1+13))</f>
        <v>-79.4349648</v>
      </c>
      <c r="J38" t="s">
        <v>369</v>
      </c>
      <c r="K38" t="s">
        <v>370</v>
      </c>
      <c r="L38" t="s">
        <v>284</v>
      </c>
      <c r="M38" t="s">
        <v>188</v>
      </c>
      <c r="N38">
        <v>9</v>
      </c>
      <c r="O38" t="s">
        <v>371</v>
      </c>
      <c r="P38" s="19"/>
      <c r="Q38" s="19"/>
      <c r="R38" s="31">
        <v>2018</v>
      </c>
      <c r="S38" t="s">
        <v>104</v>
      </c>
      <c r="T38">
        <v>2021</v>
      </c>
      <c r="U38" t="s">
        <v>372</v>
      </c>
      <c r="V38" t="s">
        <v>373</v>
      </c>
      <c r="W38" s="31"/>
      <c r="X38" s="31"/>
      <c r="Y38" s="31"/>
      <c r="Z38" s="31"/>
      <c r="AA38" s="31"/>
      <c r="AB38">
        <v>6.54</v>
      </c>
      <c r="AC38" t="s">
        <v>374</v>
      </c>
      <c r="AD38" t="s">
        <v>375</v>
      </c>
      <c r="AE38">
        <v>15612</v>
      </c>
      <c r="AF38" s="31" t="s">
        <v>63</v>
      </c>
      <c r="AG38" s="10" t="s">
        <v>376</v>
      </c>
      <c r="AH38" t="s">
        <v>377</v>
      </c>
    </row>
    <row r="39" spans="1:34" x14ac:dyDescent="0.25">
      <c r="A39" s="43">
        <v>17132</v>
      </c>
      <c r="B39" s="17" t="b">
        <v>1</v>
      </c>
      <c r="C39" t="s">
        <v>378</v>
      </c>
      <c r="D39" t="s">
        <v>379</v>
      </c>
      <c r="E39" t="s">
        <v>42</v>
      </c>
      <c r="F39" t="s">
        <v>295</v>
      </c>
      <c r="G39" s="28" t="s">
        <v>380</v>
      </c>
      <c r="H39" s="28" t="str">
        <f>MID(Table13[[#This Row],[Centroid Coordinates]], 14+1, LEN(Table13[[#This Row],[Centroid Coordinates]]) - (14+1))</f>
        <v>43.7298366</v>
      </c>
      <c r="I39" s="28" t="str">
        <f>MID(Table13[[#This Row],[Centroid Coordinates]], 1+1, LEN(Table13[[#This Row],[Centroid Coordinates]]) - (1+13))</f>
        <v>-79.2808675</v>
      </c>
      <c r="J39" t="s">
        <v>381</v>
      </c>
      <c r="K39" t="s">
        <v>131</v>
      </c>
      <c r="L39" t="s">
        <v>284</v>
      </c>
      <c r="M39" t="s">
        <v>188</v>
      </c>
      <c r="N39">
        <v>21</v>
      </c>
      <c r="O39" t="s">
        <v>382</v>
      </c>
      <c r="P39" t="s">
        <v>178</v>
      </c>
      <c r="Q39" t="s">
        <v>61</v>
      </c>
      <c r="R39" s="31">
        <v>2017</v>
      </c>
      <c r="S39" s="31" t="s">
        <v>104</v>
      </c>
      <c r="T39">
        <v>2022</v>
      </c>
      <c r="U39" t="s">
        <v>372</v>
      </c>
      <c r="V39" t="s">
        <v>373</v>
      </c>
      <c r="W39" s="31"/>
      <c r="X39" s="31"/>
      <c r="Y39" s="31"/>
      <c r="Z39" s="31"/>
      <c r="AA39" s="31"/>
      <c r="AB39" s="31"/>
      <c r="AC39" s="31"/>
      <c r="AD39" s="31"/>
      <c r="AE39" s="31"/>
      <c r="AF39" s="31" t="s">
        <v>63</v>
      </c>
      <c r="AG39" s="10" t="s">
        <v>383</v>
      </c>
      <c r="AH39" t="s">
        <v>384</v>
      </c>
    </row>
    <row r="40" spans="1:34" x14ac:dyDescent="0.25">
      <c r="A40" s="43">
        <v>17067</v>
      </c>
      <c r="B40" s="17" t="b">
        <v>1</v>
      </c>
      <c r="C40" t="s">
        <v>385</v>
      </c>
      <c r="D40" t="s">
        <v>386</v>
      </c>
      <c r="E40" t="s">
        <v>387</v>
      </c>
      <c r="F40" t="s">
        <v>295</v>
      </c>
      <c r="G40" s="28" t="s">
        <v>388</v>
      </c>
      <c r="H40" s="28" t="str">
        <f>MID(Table13[[#This Row],[Centroid Coordinates]], 14+1, LEN(Table13[[#This Row],[Centroid Coordinates]]) - (14+1))</f>
        <v>43.6575252</v>
      </c>
      <c r="I40" s="28" t="str">
        <f>MID(Table13[[#This Row],[Centroid Coordinates]], 1+1, LEN(Table13[[#This Row],[Centroid Coordinates]]) - (1+13))</f>
        <v>-79.3857651</v>
      </c>
      <c r="J40" t="s">
        <v>389</v>
      </c>
      <c r="K40" t="s">
        <v>131</v>
      </c>
      <c r="L40" t="s">
        <v>390</v>
      </c>
      <c r="M40" t="s">
        <v>188</v>
      </c>
      <c r="N40">
        <v>11</v>
      </c>
      <c r="O40" t="s">
        <v>391</v>
      </c>
      <c r="P40" t="s">
        <v>286</v>
      </c>
      <c r="Q40" t="s">
        <v>157</v>
      </c>
      <c r="R40" s="31">
        <v>2017</v>
      </c>
      <c r="S40" s="31">
        <v>2018</v>
      </c>
      <c r="T40">
        <v>2018</v>
      </c>
      <c r="U40" t="s">
        <v>49</v>
      </c>
      <c r="V40" t="s">
        <v>50</v>
      </c>
      <c r="W40" t="s">
        <v>63</v>
      </c>
      <c r="X40" t="s">
        <v>63</v>
      </c>
      <c r="Y40" t="s">
        <v>63</v>
      </c>
      <c r="Z40">
        <v>46750</v>
      </c>
      <c r="AA40" s="31" t="s">
        <v>63</v>
      </c>
      <c r="AB40">
        <v>19.600000000000001</v>
      </c>
      <c r="AC40">
        <v>98.66</v>
      </c>
      <c r="AD40">
        <v>22</v>
      </c>
      <c r="AE40">
        <v>2293</v>
      </c>
      <c r="AF40" t="s">
        <v>392</v>
      </c>
      <c r="AG40" s="10" t="s">
        <v>393</v>
      </c>
      <c r="AH40" t="s">
        <v>394</v>
      </c>
    </row>
    <row r="41" spans="1:34" x14ac:dyDescent="0.25">
      <c r="A41" s="44">
        <v>16034</v>
      </c>
      <c r="B41" s="17" t="b">
        <v>1</v>
      </c>
      <c r="C41" t="s">
        <v>395</v>
      </c>
      <c r="D41" t="s">
        <v>396</v>
      </c>
      <c r="E41" t="s">
        <v>42</v>
      </c>
      <c r="F41" t="s">
        <v>295</v>
      </c>
      <c r="G41" s="28" t="s">
        <v>397</v>
      </c>
      <c r="H41" s="28" t="str">
        <f>MID(Table13[[#This Row],[Centroid Coordinates]], 14+1, LEN(Table13[[#This Row],[Centroid Coordinates]]) - (14+1))</f>
        <v>43.7774148</v>
      </c>
      <c r="I41" s="28" t="str">
        <f>MID(Table13[[#This Row],[Centroid Coordinates]], 1+1, LEN(Table13[[#This Row],[Centroid Coordinates]]) - (1+13))</f>
        <v>-79.2499983</v>
      </c>
      <c r="J41" t="s">
        <v>398</v>
      </c>
      <c r="K41" t="s">
        <v>141</v>
      </c>
      <c r="L41" t="s">
        <v>46</v>
      </c>
      <c r="M41" t="s">
        <v>47</v>
      </c>
      <c r="N41">
        <v>24</v>
      </c>
      <c r="O41" t="s">
        <v>399</v>
      </c>
      <c r="P41" t="s">
        <v>142</v>
      </c>
      <c r="Q41" t="s">
        <v>400</v>
      </c>
      <c r="R41">
        <v>2016</v>
      </c>
      <c r="S41" t="s">
        <v>104</v>
      </c>
      <c r="T41">
        <v>2025</v>
      </c>
      <c r="U41" t="s">
        <v>401</v>
      </c>
      <c r="V41" t="s">
        <v>234</v>
      </c>
      <c r="W41">
        <v>3203</v>
      </c>
      <c r="X41" t="s">
        <v>63</v>
      </c>
      <c r="Y41" t="s">
        <v>63</v>
      </c>
      <c r="Z41" t="s">
        <v>63</v>
      </c>
      <c r="AA41" t="s">
        <v>402</v>
      </c>
      <c r="AB41">
        <v>5.57</v>
      </c>
      <c r="AC41" t="s">
        <v>403</v>
      </c>
      <c r="AD41" t="s">
        <v>404</v>
      </c>
      <c r="AE41" t="s">
        <v>63</v>
      </c>
      <c r="AF41" t="s">
        <v>405</v>
      </c>
      <c r="AG41" s="10" t="s">
        <v>406</v>
      </c>
      <c r="AH41" t="s">
        <v>407</v>
      </c>
    </row>
    <row r="42" spans="1:34" x14ac:dyDescent="0.25">
      <c r="A42" s="44">
        <v>16034</v>
      </c>
      <c r="B42" s="17" t="b">
        <v>1</v>
      </c>
      <c r="C42" t="s">
        <v>395</v>
      </c>
      <c r="D42" t="s">
        <v>396</v>
      </c>
      <c r="E42" t="s">
        <v>42</v>
      </c>
      <c r="F42" t="s">
        <v>295</v>
      </c>
      <c r="G42" s="28" t="s">
        <v>408</v>
      </c>
      <c r="H42" s="28" t="str">
        <f>MID(Table13[[#This Row],[Centroid Coordinates]], 14+1, LEN(Table13[[#This Row],[Centroid Coordinates]]) - (14+1))</f>
        <v>43.7781023</v>
      </c>
      <c r="I42" s="28" t="str">
        <f>MID(Table13[[#This Row],[Centroid Coordinates]], 1+1, LEN(Table13[[#This Row],[Centroid Coordinates]]) - (1+13))</f>
        <v>-79.2487831</v>
      </c>
      <c r="J42" t="s">
        <v>409</v>
      </c>
      <c r="K42" t="s">
        <v>141</v>
      </c>
      <c r="L42" t="s">
        <v>46</v>
      </c>
      <c r="M42" t="s">
        <v>47</v>
      </c>
      <c r="N42">
        <v>24</v>
      </c>
      <c r="O42" t="s">
        <v>399</v>
      </c>
      <c r="P42" t="s">
        <v>142</v>
      </c>
      <c r="Q42" t="s">
        <v>400</v>
      </c>
      <c r="R42">
        <v>2016</v>
      </c>
      <c r="S42" t="s">
        <v>104</v>
      </c>
      <c r="T42">
        <v>2025</v>
      </c>
      <c r="U42" t="s">
        <v>401</v>
      </c>
      <c r="V42" t="s">
        <v>234</v>
      </c>
      <c r="W42">
        <v>3203</v>
      </c>
      <c r="X42" t="s">
        <v>63</v>
      </c>
      <c r="Y42" t="s">
        <v>63</v>
      </c>
      <c r="Z42" t="s">
        <v>63</v>
      </c>
      <c r="AA42" t="s">
        <v>402</v>
      </c>
      <c r="AB42">
        <v>5.57</v>
      </c>
      <c r="AC42" t="s">
        <v>403</v>
      </c>
      <c r="AD42" t="s">
        <v>404</v>
      </c>
      <c r="AE42" t="s">
        <v>63</v>
      </c>
      <c r="AF42" t="s">
        <v>405</v>
      </c>
      <c r="AG42" s="10" t="s">
        <v>410</v>
      </c>
      <c r="AH42" t="s">
        <v>407</v>
      </c>
    </row>
    <row r="43" spans="1:34" x14ac:dyDescent="0.25">
      <c r="A43" s="43">
        <v>18047</v>
      </c>
      <c r="B43" s="17" t="b">
        <v>1</v>
      </c>
      <c r="C43" s="31" t="s">
        <v>411</v>
      </c>
      <c r="D43" t="s">
        <v>412</v>
      </c>
      <c r="E43" t="s">
        <v>42</v>
      </c>
      <c r="F43" t="s">
        <v>295</v>
      </c>
      <c r="G43" s="31"/>
      <c r="H43" s="31" t="e">
        <f>MID(Table13[[#This Row],[Centroid Coordinates]], 14+1, LEN(Table13[[#This Row],[Centroid Coordinates]]) - (14+1))</f>
        <v>#VALUE!</v>
      </c>
      <c r="I43" s="31" t="e">
        <f>MID(Table13[[#This Row],[Centroid Coordinates]], 1+1, LEN(Table13[[#This Row],[Centroid Coordinates]]) - (1+13))</f>
        <v>#VALUE!</v>
      </c>
      <c r="J43" s="31" t="s">
        <v>413</v>
      </c>
      <c r="K43" t="s">
        <v>141</v>
      </c>
      <c r="L43" t="s">
        <v>46</v>
      </c>
      <c r="M43" t="s">
        <v>188</v>
      </c>
      <c r="N43">
        <v>10</v>
      </c>
      <c r="O43" t="s">
        <v>178</v>
      </c>
      <c r="P43" s="19"/>
      <c r="Q43" s="19"/>
      <c r="R43" s="31">
        <v>2018</v>
      </c>
      <c r="S43" s="31" t="s">
        <v>104</v>
      </c>
      <c r="T43">
        <v>2020</v>
      </c>
      <c r="U43" t="s">
        <v>414</v>
      </c>
      <c r="V43" t="s">
        <v>234</v>
      </c>
      <c r="W43" s="31"/>
      <c r="X43" s="31"/>
      <c r="Y43" s="31"/>
      <c r="Z43" s="31"/>
      <c r="AA43" s="31"/>
      <c r="AB43" s="31"/>
      <c r="AC43" s="31"/>
      <c r="AD43" t="s">
        <v>415</v>
      </c>
      <c r="AE43" s="31"/>
      <c r="AH43" t="s">
        <v>268</v>
      </c>
    </row>
    <row r="44" spans="1:34" x14ac:dyDescent="0.25">
      <c r="A44" s="43">
        <v>20002</v>
      </c>
      <c r="B44" s="17" t="b">
        <v>1</v>
      </c>
      <c r="C44" s="31" t="s">
        <v>416</v>
      </c>
      <c r="D44" t="s">
        <v>280</v>
      </c>
      <c r="E44" t="s">
        <v>42</v>
      </c>
      <c r="F44" t="s">
        <v>295</v>
      </c>
      <c r="G44" s="31"/>
      <c r="H44" s="31" t="e">
        <f>MID(Table13[[#This Row],[Centroid Coordinates]], 14+1, LEN(Table13[[#This Row],[Centroid Coordinates]]) - (14+1))</f>
        <v>#VALUE!</v>
      </c>
      <c r="I44" s="31" t="e">
        <f>MID(Table13[[#This Row],[Centroid Coordinates]], 1+1, LEN(Table13[[#This Row],[Centroid Coordinates]]) - (1+13))</f>
        <v>#VALUE!</v>
      </c>
      <c r="J44" s="31" t="s">
        <v>417</v>
      </c>
      <c r="K44" t="s">
        <v>131</v>
      </c>
      <c r="L44" t="s">
        <v>418</v>
      </c>
      <c r="M44" t="s">
        <v>188</v>
      </c>
      <c r="N44" s="11">
        <v>14</v>
      </c>
      <c r="O44" t="s">
        <v>419</v>
      </c>
      <c r="P44" t="s">
        <v>178</v>
      </c>
      <c r="Q44" t="s">
        <v>420</v>
      </c>
      <c r="R44" s="31">
        <v>2017</v>
      </c>
      <c r="S44">
        <v>2022</v>
      </c>
      <c r="T44">
        <v>2022</v>
      </c>
      <c r="U44" t="s">
        <v>421</v>
      </c>
      <c r="V44" t="s">
        <v>50</v>
      </c>
      <c r="W44" s="31"/>
      <c r="X44" s="31"/>
      <c r="Y44" s="31"/>
      <c r="Z44" s="31"/>
      <c r="AA44" s="31"/>
      <c r="AB44" s="31"/>
      <c r="AC44" s="31"/>
      <c r="AD44" s="31"/>
      <c r="AE44" s="31"/>
      <c r="AG44" s="10" t="s">
        <v>422</v>
      </c>
      <c r="AH44" t="s">
        <v>423</v>
      </c>
    </row>
    <row r="45" spans="1:34" x14ac:dyDescent="0.25">
      <c r="A45" s="43">
        <v>16046</v>
      </c>
      <c r="B45" s="17" t="b">
        <v>1</v>
      </c>
      <c r="C45" t="s">
        <v>424</v>
      </c>
      <c r="D45" t="s">
        <v>425</v>
      </c>
      <c r="E45" t="s">
        <v>42</v>
      </c>
      <c r="F45" t="s">
        <v>295</v>
      </c>
      <c r="G45" s="28" t="s">
        <v>426</v>
      </c>
      <c r="H45" s="28" t="str">
        <f>MID(Table13[[#This Row],[Centroid Coordinates]], 14+1, LEN(Table13[[#This Row],[Centroid Coordinates]]) - (14+1))</f>
        <v>43.6471064</v>
      </c>
      <c r="I45" s="28" t="str">
        <f>MID(Table13[[#This Row],[Centroid Coordinates]], 1+1, LEN(Table13[[#This Row],[Centroid Coordinates]]) - (1+13))</f>
        <v>-79.3994334</v>
      </c>
      <c r="J45" t="s">
        <v>427</v>
      </c>
      <c r="K45" t="s">
        <v>141</v>
      </c>
      <c r="L45" t="s">
        <v>46</v>
      </c>
      <c r="M45" t="s">
        <v>188</v>
      </c>
      <c r="N45" s="11">
        <v>10</v>
      </c>
      <c r="O45" t="s">
        <v>231</v>
      </c>
      <c r="P45" s="19"/>
      <c r="Q45" s="19"/>
      <c r="R45">
        <v>2016</v>
      </c>
      <c r="S45">
        <v>2017</v>
      </c>
      <c r="T45" s="11">
        <v>2017</v>
      </c>
      <c r="U45" t="s">
        <v>428</v>
      </c>
      <c r="V45" t="s">
        <v>50</v>
      </c>
      <c r="W45">
        <v>288</v>
      </c>
      <c r="X45">
        <v>0</v>
      </c>
      <c r="Y45">
        <v>0</v>
      </c>
      <c r="Z45">
        <v>8000</v>
      </c>
      <c r="AA45" t="s">
        <v>63</v>
      </c>
      <c r="AB45">
        <v>6.09</v>
      </c>
      <c r="AC45">
        <v>53.5</v>
      </c>
      <c r="AD45">
        <v>13</v>
      </c>
      <c r="AE45">
        <v>5174</v>
      </c>
      <c r="AF45" t="s">
        <v>429</v>
      </c>
      <c r="AG45" s="10" t="s">
        <v>430</v>
      </c>
      <c r="AH45" t="s">
        <v>431</v>
      </c>
    </row>
    <row r="46" spans="1:34" x14ac:dyDescent="0.25">
      <c r="A46" s="43">
        <v>13049</v>
      </c>
      <c r="B46" s="17" t="b">
        <v>1</v>
      </c>
      <c r="C46" t="s">
        <v>432</v>
      </c>
      <c r="D46" t="s">
        <v>433</v>
      </c>
      <c r="E46" t="s">
        <v>42</v>
      </c>
      <c r="F46" t="s">
        <v>295</v>
      </c>
      <c r="G46" s="28" t="s">
        <v>434</v>
      </c>
      <c r="H46" s="28" t="str">
        <f>MID(Table13[[#This Row],[Centroid Coordinates]], 14+1, LEN(Table13[[#This Row],[Centroid Coordinates]]) - (14+1))</f>
        <v>43.6646854</v>
      </c>
      <c r="I46" s="28" t="str">
        <f>MID(Table13[[#This Row],[Centroid Coordinates]], 1+1, LEN(Table13[[#This Row],[Centroid Coordinates]]) - (1+13))</f>
        <v>-79.4120596</v>
      </c>
      <c r="J46" t="s">
        <v>435</v>
      </c>
      <c r="K46" t="s">
        <v>436</v>
      </c>
      <c r="L46" t="s">
        <v>284</v>
      </c>
      <c r="M46" t="s">
        <v>188</v>
      </c>
      <c r="N46" s="11">
        <v>10</v>
      </c>
      <c r="O46" t="s">
        <v>437</v>
      </c>
      <c r="P46" s="19"/>
      <c r="Q46" s="19"/>
      <c r="R46">
        <v>2014</v>
      </c>
      <c r="S46">
        <v>2017</v>
      </c>
      <c r="T46" s="11">
        <v>2017</v>
      </c>
      <c r="U46" t="s">
        <v>49</v>
      </c>
      <c r="V46" t="s">
        <v>50</v>
      </c>
      <c r="W46">
        <v>806</v>
      </c>
      <c r="X46">
        <v>7.44</v>
      </c>
      <c r="Y46">
        <v>60</v>
      </c>
      <c r="Z46" t="s">
        <v>63</v>
      </c>
      <c r="AA46" t="s">
        <v>63</v>
      </c>
      <c r="AB46">
        <v>5.33</v>
      </c>
      <c r="AC46" t="s">
        <v>438</v>
      </c>
      <c r="AD46" t="s">
        <v>439</v>
      </c>
      <c r="AE46">
        <v>14172</v>
      </c>
      <c r="AF46" t="s">
        <v>440</v>
      </c>
      <c r="AG46" s="10" t="s">
        <v>441</v>
      </c>
      <c r="AH46" t="s">
        <v>442</v>
      </c>
    </row>
    <row r="47" spans="1:34" x14ac:dyDescent="0.25">
      <c r="A47" s="43">
        <v>10079</v>
      </c>
      <c r="B47" s="17" t="b">
        <v>1</v>
      </c>
      <c r="C47" t="s">
        <v>443</v>
      </c>
      <c r="D47" t="s">
        <v>444</v>
      </c>
      <c r="E47" t="s">
        <v>42</v>
      </c>
      <c r="F47" t="s">
        <v>295</v>
      </c>
      <c r="G47" s="28" t="s">
        <v>445</v>
      </c>
      <c r="H47" s="28" t="str">
        <f>MID(Table13[[#This Row],[Centroid Coordinates]], 14+1, LEN(Table13[[#This Row],[Centroid Coordinates]]) - (14+1))</f>
        <v>43.6546126</v>
      </c>
      <c r="I47" s="28" t="str">
        <f>MID(Table13[[#This Row],[Centroid Coordinates]], 1+1, LEN(Table13[[#This Row],[Centroid Coordinates]]) - (1+13))</f>
        <v>-79.4452017</v>
      </c>
      <c r="J47" s="11" t="s">
        <v>446</v>
      </c>
      <c r="K47" t="s">
        <v>141</v>
      </c>
      <c r="L47" t="s">
        <v>284</v>
      </c>
      <c r="M47" t="s">
        <v>47</v>
      </c>
      <c r="N47">
        <v>9</v>
      </c>
      <c r="O47" t="s">
        <v>114</v>
      </c>
      <c r="P47" s="19"/>
      <c r="Q47" s="19"/>
      <c r="R47">
        <v>2010</v>
      </c>
      <c r="S47">
        <v>2025</v>
      </c>
      <c r="T47">
        <v>2025</v>
      </c>
      <c r="U47" t="s">
        <v>49</v>
      </c>
      <c r="V47" t="s">
        <v>50</v>
      </c>
      <c r="W47">
        <v>737</v>
      </c>
      <c r="X47">
        <v>1.0900000000000001</v>
      </c>
      <c r="Y47">
        <v>8</v>
      </c>
      <c r="Z47">
        <v>1500</v>
      </c>
      <c r="AA47">
        <v>1250</v>
      </c>
      <c r="AB47" t="s">
        <v>447</v>
      </c>
      <c r="AC47">
        <v>99</v>
      </c>
      <c r="AD47">
        <v>31</v>
      </c>
      <c r="AE47">
        <v>4774</v>
      </c>
      <c r="AF47" t="s">
        <v>448</v>
      </c>
      <c r="AG47" s="10" t="s">
        <v>449</v>
      </c>
      <c r="AH47" t="s">
        <v>442</v>
      </c>
    </row>
    <row r="48" spans="1:34" x14ac:dyDescent="0.25">
      <c r="A48" s="43">
        <v>14004</v>
      </c>
      <c r="B48" s="17" t="b">
        <v>1</v>
      </c>
      <c r="C48" s="9" t="s">
        <v>450</v>
      </c>
      <c r="D48" t="s">
        <v>451</v>
      </c>
      <c r="E48" t="s">
        <v>452</v>
      </c>
      <c r="F48" t="s">
        <v>43</v>
      </c>
      <c r="G48" s="28" t="s">
        <v>453</v>
      </c>
      <c r="H48" s="28" t="str">
        <f>MID(Table13[[#This Row],[Centroid Coordinates]], 14+1, LEN(Table13[[#This Row],[Centroid Coordinates]]) - (14+1))</f>
        <v>43.7232253</v>
      </c>
      <c r="I48" s="28" t="str">
        <f>MID(Table13[[#This Row],[Centroid Coordinates]], 1+1, LEN(Table13[[#This Row],[Centroid Coordinates]]) - (1+13))</f>
        <v>-79.3407175</v>
      </c>
      <c r="J48" t="s">
        <v>454</v>
      </c>
      <c r="K48" t="s">
        <v>229</v>
      </c>
      <c r="L48" t="s">
        <v>284</v>
      </c>
      <c r="M48" t="s">
        <v>188</v>
      </c>
      <c r="N48">
        <v>16</v>
      </c>
      <c r="O48" s="9"/>
      <c r="P48" s="9"/>
      <c r="Q48" s="9"/>
      <c r="R48" t="s">
        <v>48</v>
      </c>
      <c r="S48" t="s">
        <v>63</v>
      </c>
      <c r="T48" t="s">
        <v>455</v>
      </c>
      <c r="U48" t="s">
        <v>456</v>
      </c>
      <c r="V48" t="s">
        <v>234</v>
      </c>
      <c r="W48">
        <v>4921</v>
      </c>
      <c r="X48" t="s">
        <v>63</v>
      </c>
      <c r="Y48" t="s">
        <v>63</v>
      </c>
      <c r="Z48" t="s">
        <v>63</v>
      </c>
      <c r="AA48" t="s">
        <v>63</v>
      </c>
      <c r="AB48" s="19">
        <v>2.31</v>
      </c>
      <c r="AC48" s="19">
        <v>147</v>
      </c>
      <c r="AD48" s="19">
        <v>48</v>
      </c>
      <c r="AE48" s="19">
        <v>244240</v>
      </c>
      <c r="AF48" t="s">
        <v>457</v>
      </c>
      <c r="AG48" s="10" t="s">
        <v>458</v>
      </c>
      <c r="AH48" s="9" t="s">
        <v>459</v>
      </c>
    </row>
    <row r="49" spans="1:34" x14ac:dyDescent="0.25">
      <c r="A49" s="43">
        <v>15066</v>
      </c>
      <c r="B49" s="17" t="b">
        <v>1</v>
      </c>
      <c r="C49" t="s">
        <v>460</v>
      </c>
      <c r="D49" t="s">
        <v>461</v>
      </c>
      <c r="E49" t="s">
        <v>42</v>
      </c>
      <c r="F49" t="s">
        <v>295</v>
      </c>
      <c r="G49" s="28" t="s">
        <v>462</v>
      </c>
      <c r="H49" s="28" t="str">
        <f>MID(Table13[[#This Row],[Centroid Coordinates]], 14+1, LEN(Table13[[#This Row],[Centroid Coordinates]]) - (14+1))</f>
        <v>43.6677361</v>
      </c>
      <c r="I49" s="28" t="str">
        <f>MID(Table13[[#This Row],[Centroid Coordinates]], 1+1, LEN(Table13[[#This Row],[Centroid Coordinates]]) - (1+13))</f>
        <v>-79.4410701</v>
      </c>
      <c r="J49" t="s">
        <v>463</v>
      </c>
      <c r="K49" t="s">
        <v>229</v>
      </c>
      <c r="L49" t="s">
        <v>242</v>
      </c>
      <c r="M49" t="s">
        <v>188</v>
      </c>
      <c r="N49">
        <v>9</v>
      </c>
      <c r="O49" t="s">
        <v>464</v>
      </c>
      <c r="P49" t="s">
        <v>231</v>
      </c>
      <c r="Q49" t="s">
        <v>420</v>
      </c>
      <c r="R49" s="31">
        <v>2015</v>
      </c>
      <c r="S49" s="31" t="s">
        <v>104</v>
      </c>
      <c r="T49" t="s">
        <v>465</v>
      </c>
      <c r="U49" t="s">
        <v>466</v>
      </c>
      <c r="V49" t="s">
        <v>234</v>
      </c>
      <c r="W49" s="31"/>
      <c r="X49" s="31"/>
      <c r="Y49" s="31"/>
      <c r="Z49" s="31"/>
      <c r="AA49" s="31"/>
      <c r="AB49" s="31"/>
      <c r="AC49" s="31"/>
      <c r="AD49">
        <v>31</v>
      </c>
      <c r="AE49" s="31"/>
      <c r="AF49" t="s">
        <v>467</v>
      </c>
      <c r="AG49" s="10" t="s">
        <v>468</v>
      </c>
      <c r="AH49" t="s">
        <v>469</v>
      </c>
    </row>
    <row r="50" spans="1:34" x14ac:dyDescent="0.25">
      <c r="A50" s="43">
        <v>10042</v>
      </c>
      <c r="B50" s="17" t="b">
        <v>1</v>
      </c>
      <c r="C50" t="s">
        <v>470</v>
      </c>
      <c r="D50" t="s">
        <v>471</v>
      </c>
      <c r="E50" t="s">
        <v>42</v>
      </c>
      <c r="F50" t="s">
        <v>295</v>
      </c>
      <c r="G50" s="28" t="s">
        <v>472</v>
      </c>
      <c r="H50" s="28" t="str">
        <f>MID(Table13[[#This Row],[Centroid Coordinates]], 14+1, LEN(Table13[[#This Row],[Centroid Coordinates]]) - (14+1))</f>
        <v>43.7254565</v>
      </c>
      <c r="I50" s="28" t="str">
        <f>MID(Table13[[#This Row],[Centroid Coordinates]], 1+1, LEN(Table13[[#This Row],[Centroid Coordinates]]) - (1+13))</f>
        <v>-79.4529083</v>
      </c>
      <c r="J50" t="s">
        <v>473</v>
      </c>
      <c r="K50" t="s">
        <v>141</v>
      </c>
      <c r="L50" t="s">
        <v>474</v>
      </c>
      <c r="M50" t="s">
        <v>188</v>
      </c>
      <c r="N50">
        <v>8</v>
      </c>
      <c r="O50" t="s">
        <v>475</v>
      </c>
      <c r="P50" t="s">
        <v>143</v>
      </c>
      <c r="Q50" t="s">
        <v>287</v>
      </c>
      <c r="R50" s="31">
        <v>2010</v>
      </c>
      <c r="S50" s="31" t="s">
        <v>104</v>
      </c>
      <c r="T50">
        <v>2023</v>
      </c>
      <c r="U50" t="s">
        <v>476</v>
      </c>
      <c r="V50" t="s">
        <v>373</v>
      </c>
      <c r="W50" s="31"/>
      <c r="X50" s="31"/>
      <c r="Y50" s="31"/>
      <c r="Z50" s="31"/>
      <c r="AA50" s="31"/>
      <c r="AB50" s="31"/>
      <c r="AC50" s="31"/>
      <c r="AD50" s="31"/>
      <c r="AE50" s="31"/>
      <c r="AF50" t="s">
        <v>477</v>
      </c>
      <c r="AG50" s="10" t="s">
        <v>478</v>
      </c>
      <c r="AH50" t="s">
        <v>479</v>
      </c>
    </row>
    <row r="51" spans="1:34" x14ac:dyDescent="0.25">
      <c r="A51" s="46" t="s">
        <v>480</v>
      </c>
      <c r="B51" s="17" t="b">
        <v>1</v>
      </c>
      <c r="C51" t="s">
        <v>481</v>
      </c>
      <c r="D51" t="s">
        <v>482</v>
      </c>
      <c r="E51" t="s">
        <v>483</v>
      </c>
      <c r="F51" t="s">
        <v>295</v>
      </c>
      <c r="G51" s="28" t="s">
        <v>484</v>
      </c>
      <c r="H51" s="28" t="str">
        <f>MID(Table13[[#This Row],[Centroid Coordinates]], 14+1, LEN(Table13[[#This Row],[Centroid Coordinates]]) - (14+1))</f>
        <v>43.6450184</v>
      </c>
      <c r="I51" s="28" t="str">
        <f>MID(Table13[[#This Row],[Centroid Coordinates]], 1+1, LEN(Table13[[#This Row],[Centroid Coordinates]]) - (1+13))</f>
        <v>-79.3774342</v>
      </c>
      <c r="J51" t="s">
        <v>485</v>
      </c>
      <c r="K51" t="s">
        <v>229</v>
      </c>
      <c r="L51" t="s">
        <v>474</v>
      </c>
      <c r="M51" t="s">
        <v>47</v>
      </c>
      <c r="N51">
        <v>10</v>
      </c>
      <c r="O51" t="s">
        <v>486</v>
      </c>
      <c r="P51" s="9"/>
      <c r="Q51" s="9"/>
      <c r="R51">
        <v>2007</v>
      </c>
      <c r="S51">
        <v>2016</v>
      </c>
      <c r="T51">
        <v>2016</v>
      </c>
      <c r="U51" t="s">
        <v>62</v>
      </c>
      <c r="V51" t="s">
        <v>50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>
        <v>6</v>
      </c>
      <c r="AC51">
        <v>243</v>
      </c>
      <c r="AD51">
        <v>53</v>
      </c>
      <c r="AE51">
        <v>22520</v>
      </c>
      <c r="AF51" t="s">
        <v>487</v>
      </c>
      <c r="AG51" s="10" t="s">
        <v>488</v>
      </c>
      <c r="AH51" t="s">
        <v>489</v>
      </c>
    </row>
    <row r="52" spans="1:34" x14ac:dyDescent="0.25">
      <c r="A52" s="46" t="s">
        <v>490</v>
      </c>
      <c r="B52" s="17" t="b">
        <v>1</v>
      </c>
      <c r="C52" t="s">
        <v>491</v>
      </c>
      <c r="D52" t="s">
        <v>492</v>
      </c>
      <c r="E52" t="s">
        <v>493</v>
      </c>
      <c r="F52" t="s">
        <v>295</v>
      </c>
      <c r="G52" s="28" t="s">
        <v>494</v>
      </c>
      <c r="H52" s="28" t="str">
        <f>MID(Table13[[#This Row],[Centroid Coordinates]], 14+1, LEN(Table13[[#This Row],[Centroid Coordinates]]) - (14+1))</f>
        <v>43.6521783</v>
      </c>
      <c r="I52" s="28" t="str">
        <f>MID(Table13[[#This Row],[Centroid Coordinates]], 1+1, LEN(Table13[[#This Row],[Centroid Coordinates]]) - (1+13))</f>
        <v>-79.4001077</v>
      </c>
      <c r="J52" t="s">
        <v>495</v>
      </c>
      <c r="K52" t="s">
        <v>496</v>
      </c>
      <c r="L52" t="s">
        <v>58</v>
      </c>
      <c r="M52" t="s">
        <v>47</v>
      </c>
      <c r="N52">
        <v>10</v>
      </c>
      <c r="O52" t="s">
        <v>497</v>
      </c>
      <c r="P52" t="s">
        <v>263</v>
      </c>
      <c r="Q52" s="19" t="s">
        <v>498</v>
      </c>
      <c r="R52">
        <v>2009</v>
      </c>
      <c r="S52">
        <v>2020</v>
      </c>
      <c r="T52">
        <v>2020</v>
      </c>
      <c r="U52" t="s">
        <v>49</v>
      </c>
      <c r="V52" t="s">
        <v>50</v>
      </c>
      <c r="W52" s="31"/>
      <c r="X52">
        <v>0</v>
      </c>
      <c r="Y52">
        <v>0</v>
      </c>
      <c r="Z52">
        <v>4100</v>
      </c>
      <c r="AA52" t="s">
        <v>63</v>
      </c>
      <c r="AB52">
        <v>3.04</v>
      </c>
      <c r="AC52" t="s">
        <v>499</v>
      </c>
      <c r="AD52" t="s">
        <v>500</v>
      </c>
      <c r="AE52">
        <v>59400</v>
      </c>
      <c r="AF52" t="s">
        <v>501</v>
      </c>
      <c r="AG52" s="10" t="s">
        <v>502</v>
      </c>
      <c r="AH52" t="s">
        <v>503</v>
      </c>
    </row>
    <row r="53" spans="1:34" x14ac:dyDescent="0.25">
      <c r="A53" s="43">
        <v>18117</v>
      </c>
      <c r="B53" s="17" t="b">
        <v>1</v>
      </c>
      <c r="C53" t="s">
        <v>504</v>
      </c>
      <c r="D53" t="s">
        <v>505</v>
      </c>
      <c r="E53" t="s">
        <v>42</v>
      </c>
      <c r="F53" t="s">
        <v>295</v>
      </c>
      <c r="G53" s="28" t="s">
        <v>506</v>
      </c>
      <c r="H53" s="28" t="str">
        <f>MID(Table13[[#This Row],[Centroid Coordinates]], 14+1, LEN(Table13[[#This Row],[Centroid Coordinates]]) - (14+1))</f>
        <v>43.6267155</v>
      </c>
      <c r="I53" s="28" t="str">
        <f>MID(Table13[[#This Row],[Centroid Coordinates]], 1+1, LEN(Table13[[#This Row],[Centroid Coordinates]]) - (1+13))</f>
        <v>-79.4999789</v>
      </c>
      <c r="J53" t="s">
        <v>507</v>
      </c>
      <c r="K53" t="s">
        <v>508</v>
      </c>
      <c r="L53" t="s">
        <v>509</v>
      </c>
      <c r="M53" t="s">
        <v>188</v>
      </c>
      <c r="N53">
        <v>3</v>
      </c>
      <c r="O53" t="s">
        <v>114</v>
      </c>
      <c r="P53" s="31"/>
      <c r="Q53" s="31"/>
      <c r="R53">
        <v>2019</v>
      </c>
      <c r="S53">
        <v>2021</v>
      </c>
      <c r="T53">
        <v>2020</v>
      </c>
      <c r="U53" t="s">
        <v>62</v>
      </c>
      <c r="V53" t="s">
        <v>50</v>
      </c>
      <c r="W53">
        <v>198</v>
      </c>
      <c r="X53">
        <v>0</v>
      </c>
      <c r="Y53">
        <v>0</v>
      </c>
      <c r="Z53" t="s">
        <v>63</v>
      </c>
      <c r="AA53">
        <v>500</v>
      </c>
      <c r="AB53">
        <v>4.25</v>
      </c>
      <c r="AC53">
        <v>30.95</v>
      </c>
      <c r="AD53">
        <v>9</v>
      </c>
      <c r="AE53">
        <v>4033</v>
      </c>
      <c r="AF53" t="s">
        <v>510</v>
      </c>
      <c r="AG53" s="10" t="s">
        <v>511</v>
      </c>
      <c r="AH53" t="s">
        <v>184</v>
      </c>
    </row>
    <row r="54" spans="1:34" x14ac:dyDescent="0.25">
      <c r="A54" s="43">
        <v>19012</v>
      </c>
      <c r="B54" s="17" t="b">
        <v>1</v>
      </c>
      <c r="C54" t="s">
        <v>512</v>
      </c>
      <c r="D54" t="s">
        <v>513</v>
      </c>
      <c r="E54" t="s">
        <v>42</v>
      </c>
      <c r="F54" t="s">
        <v>295</v>
      </c>
      <c r="G54" s="28" t="s">
        <v>514</v>
      </c>
      <c r="H54" s="28" t="str">
        <f>MID(Table13[[#This Row],[Centroid Coordinates]], 14+1, LEN(Table13[[#This Row],[Centroid Coordinates]]) - (14+1))</f>
        <v>43.6369546</v>
      </c>
      <c r="I54" s="28" t="str">
        <f>MID(Table13[[#This Row],[Centroid Coordinates]], 1+1, LEN(Table13[[#This Row],[Centroid Coordinates]]) - (1+13))</f>
        <v>-79.4235240</v>
      </c>
      <c r="J54" t="s">
        <v>515</v>
      </c>
      <c r="K54" t="s">
        <v>141</v>
      </c>
      <c r="L54" t="s">
        <v>516</v>
      </c>
      <c r="M54" t="s">
        <v>188</v>
      </c>
      <c r="N54">
        <v>10</v>
      </c>
      <c r="O54" s="19"/>
      <c r="P54" s="31"/>
      <c r="Q54" s="31"/>
      <c r="R54" s="31">
        <v>2019</v>
      </c>
      <c r="S54" s="31">
        <v>2023</v>
      </c>
      <c r="T54">
        <v>2023</v>
      </c>
      <c r="U54" t="s">
        <v>62</v>
      </c>
      <c r="V54" t="s">
        <v>50</v>
      </c>
      <c r="W54" s="31"/>
      <c r="X54" s="31"/>
      <c r="Y54" s="31"/>
      <c r="Z54" s="31"/>
      <c r="AA54" s="31"/>
      <c r="AB54">
        <v>5.97</v>
      </c>
      <c r="AC54" t="s">
        <v>517</v>
      </c>
      <c r="AD54" t="s">
        <v>518</v>
      </c>
      <c r="AE54">
        <v>7915</v>
      </c>
      <c r="AF54" t="s">
        <v>519</v>
      </c>
      <c r="AG54" s="10" t="s">
        <v>520</v>
      </c>
      <c r="AH54" t="s">
        <v>521</v>
      </c>
    </row>
    <row r="55" spans="1:34" x14ac:dyDescent="0.25">
      <c r="A55" s="43">
        <v>19067</v>
      </c>
      <c r="B55" s="17" t="b">
        <v>1</v>
      </c>
      <c r="C55" t="s">
        <v>522</v>
      </c>
      <c r="D55" t="s">
        <v>523</v>
      </c>
      <c r="E55" t="s">
        <v>42</v>
      </c>
      <c r="F55" t="s">
        <v>295</v>
      </c>
      <c r="G55" s="31"/>
      <c r="H55" s="31" t="e">
        <f>MID(Table13[[#This Row],[Centroid Coordinates]], 14+1, LEN(Table13[[#This Row],[Centroid Coordinates]]) - (14+1))</f>
        <v>#VALUE!</v>
      </c>
      <c r="I55" s="31" t="e">
        <f>MID(Table13[[#This Row],[Centroid Coordinates]], 1+1, LEN(Table13[[#This Row],[Centroid Coordinates]]) - (1+13))</f>
        <v>#VALUE!</v>
      </c>
      <c r="J55" s="31" t="s">
        <v>524</v>
      </c>
      <c r="K55" t="s">
        <v>525</v>
      </c>
      <c r="M55" t="s">
        <v>188</v>
      </c>
      <c r="N55">
        <v>14</v>
      </c>
      <c r="O55" t="s">
        <v>122</v>
      </c>
      <c r="P55" t="s">
        <v>122</v>
      </c>
      <c r="Q55" t="s">
        <v>122</v>
      </c>
      <c r="R55" s="19">
        <v>2019</v>
      </c>
      <c r="S55">
        <v>2024</v>
      </c>
      <c r="T55">
        <v>2022</v>
      </c>
      <c r="U55" t="s">
        <v>49</v>
      </c>
      <c r="V55" t="s">
        <v>524</v>
      </c>
      <c r="W55" s="19"/>
      <c r="X55" s="19"/>
      <c r="Y55" s="19"/>
      <c r="Z55" s="19"/>
      <c r="AA55" s="19"/>
      <c r="AB55" s="19"/>
      <c r="AC55" s="19"/>
      <c r="AD55" s="19"/>
      <c r="AE55" s="19"/>
      <c r="AF55" t="s">
        <v>526</v>
      </c>
      <c r="AG55" s="10" t="s">
        <v>527</v>
      </c>
      <c r="AH55" t="s">
        <v>528</v>
      </c>
    </row>
    <row r="56" spans="1:34" x14ac:dyDescent="0.25">
      <c r="A56" s="43">
        <v>20016</v>
      </c>
      <c r="B56" s="17" t="b">
        <v>1</v>
      </c>
      <c r="C56" t="s">
        <v>529</v>
      </c>
      <c r="D56" t="s">
        <v>280</v>
      </c>
      <c r="E56" t="s">
        <v>42</v>
      </c>
      <c r="F56" t="s">
        <v>295</v>
      </c>
      <c r="G56" s="28" t="s">
        <v>530</v>
      </c>
      <c r="H56" s="28" t="str">
        <f>MID(Table13[[#This Row],[Centroid Coordinates]], 14+1, LEN(Table13[[#This Row],[Centroid Coordinates]]) - (14+1))</f>
        <v>43.6118216</v>
      </c>
      <c r="I56" s="28" t="str">
        <f>MID(Table13[[#This Row],[Centroid Coordinates]], 1+1, LEN(Table13[[#This Row],[Centroid Coordinates]]) - (1+13))</f>
        <v>-79.5571424</v>
      </c>
      <c r="J56" t="s">
        <v>531</v>
      </c>
      <c r="K56" t="s">
        <v>131</v>
      </c>
      <c r="L56" t="s">
        <v>46</v>
      </c>
      <c r="M56" t="s">
        <v>188</v>
      </c>
      <c r="N56">
        <v>3</v>
      </c>
      <c r="O56" t="s">
        <v>532</v>
      </c>
      <c r="P56" t="s">
        <v>60</v>
      </c>
      <c r="Q56" t="s">
        <v>61</v>
      </c>
      <c r="R56" s="19">
        <v>2020</v>
      </c>
      <c r="S56" s="19">
        <v>2019</v>
      </c>
      <c r="T56">
        <v>2019</v>
      </c>
      <c r="U56" t="s">
        <v>476</v>
      </c>
      <c r="V56" t="s">
        <v>50</v>
      </c>
      <c r="W56" s="19"/>
      <c r="X56" s="19"/>
      <c r="Y56" s="19"/>
      <c r="Z56" s="19"/>
      <c r="AA56" s="19"/>
      <c r="AB56" s="19"/>
      <c r="AC56" s="19"/>
      <c r="AD56" s="19"/>
      <c r="AE56" s="19"/>
      <c r="AF56" t="s">
        <v>533</v>
      </c>
      <c r="AG56" s="10" t="s">
        <v>534</v>
      </c>
      <c r="AH56" t="s">
        <v>535</v>
      </c>
    </row>
    <row r="57" spans="1:34" x14ac:dyDescent="0.25">
      <c r="A57" s="43">
        <v>21036</v>
      </c>
      <c r="B57" s="17" t="b">
        <v>1</v>
      </c>
      <c r="C57" t="s">
        <v>536</v>
      </c>
      <c r="D57" t="s">
        <v>537</v>
      </c>
      <c r="E57" t="s">
        <v>538</v>
      </c>
      <c r="F57" t="s">
        <v>295</v>
      </c>
      <c r="G57" s="28" t="s">
        <v>539</v>
      </c>
      <c r="H57" s="28" t="str">
        <f>MID(Table13[[#This Row],[Centroid Coordinates]], 14+1, LEN(Table13[[#This Row],[Centroid Coordinates]]) - (14+1))</f>
        <v>43.7801304</v>
      </c>
      <c r="I57" s="28" t="str">
        <f>MID(Table13[[#This Row],[Centroid Coordinates]], 1+1, LEN(Table13[[#This Row],[Centroid Coordinates]]) - (1+13))</f>
        <v>-79.2051908</v>
      </c>
      <c r="J57" t="s">
        <v>540</v>
      </c>
      <c r="K57" t="s">
        <v>541</v>
      </c>
      <c r="L57" t="s">
        <v>390</v>
      </c>
      <c r="M57" t="s">
        <v>188</v>
      </c>
      <c r="N57">
        <v>21</v>
      </c>
      <c r="O57" t="s">
        <v>542</v>
      </c>
      <c r="P57" t="s">
        <v>286</v>
      </c>
      <c r="Q57" t="s">
        <v>157</v>
      </c>
      <c r="R57" s="19">
        <v>2021</v>
      </c>
      <c r="S57" s="19" t="s">
        <v>63</v>
      </c>
      <c r="T57" s="34"/>
      <c r="U57" s="34"/>
      <c r="V57" s="34"/>
      <c r="W57" s="19"/>
      <c r="X57" s="19"/>
      <c r="Y57" s="19"/>
      <c r="Z57" s="9"/>
      <c r="AA57" s="19"/>
      <c r="AB57" s="34"/>
      <c r="AC57" s="34"/>
      <c r="AD57" s="34"/>
      <c r="AE57" s="34"/>
      <c r="AF57" s="34"/>
      <c r="AG57" s="31"/>
      <c r="AH57" t="s">
        <v>543</v>
      </c>
    </row>
    <row r="58" spans="1:34" x14ac:dyDescent="0.25">
      <c r="A58" s="43">
        <v>21066</v>
      </c>
      <c r="B58" s="17" t="b">
        <v>1</v>
      </c>
      <c r="C58" t="s">
        <v>544</v>
      </c>
      <c r="D58" t="s">
        <v>545</v>
      </c>
      <c r="E58" t="s">
        <v>546</v>
      </c>
      <c r="F58" t="s">
        <v>295</v>
      </c>
      <c r="G58" s="28" t="s">
        <v>547</v>
      </c>
      <c r="H58" s="28" t="str">
        <f>MID(Table13[[#This Row],[Centroid Coordinates]], 14+1, LEN(Table13[[#This Row],[Centroid Coordinates]]) - (14+1))</f>
        <v>43.6967895</v>
      </c>
      <c r="I58" s="28" t="str">
        <f>MID(Table13[[#This Row],[Centroid Coordinates]], 1+1, LEN(Table13[[#This Row],[Centroid Coordinates]]) - (1+13))</f>
        <v>-79.3945757</v>
      </c>
      <c r="J58" t="s">
        <v>548</v>
      </c>
      <c r="K58" t="s">
        <v>549</v>
      </c>
      <c r="L58" t="s">
        <v>71</v>
      </c>
      <c r="M58" t="s">
        <v>188</v>
      </c>
      <c r="N58">
        <v>12</v>
      </c>
      <c r="O58" t="s">
        <v>550</v>
      </c>
      <c r="P58" t="s">
        <v>60</v>
      </c>
      <c r="Q58" t="s">
        <v>61</v>
      </c>
      <c r="R58">
        <v>2021</v>
      </c>
      <c r="S58" t="s">
        <v>104</v>
      </c>
      <c r="T58">
        <v>2025</v>
      </c>
      <c r="U58" t="s">
        <v>551</v>
      </c>
      <c r="V58" t="s">
        <v>234</v>
      </c>
      <c r="W58">
        <v>603</v>
      </c>
      <c r="X58" s="19"/>
      <c r="Y58" s="19"/>
      <c r="Z58" s="9"/>
      <c r="AA58" s="9"/>
      <c r="AB58">
        <v>13.41</v>
      </c>
      <c r="AC58">
        <v>157</v>
      </c>
      <c r="AD58">
        <v>45</v>
      </c>
      <c r="AE58">
        <v>2689</v>
      </c>
      <c r="AF58" s="31"/>
      <c r="AG58" s="10" t="s">
        <v>552</v>
      </c>
    </row>
    <row r="59" spans="1:34" x14ac:dyDescent="0.25">
      <c r="A59" s="43">
        <v>21078</v>
      </c>
      <c r="B59" s="17" t="b">
        <v>1</v>
      </c>
      <c r="C59" t="s">
        <v>553</v>
      </c>
      <c r="D59" t="s">
        <v>554</v>
      </c>
      <c r="E59" t="s">
        <v>42</v>
      </c>
      <c r="F59" t="s">
        <v>295</v>
      </c>
      <c r="G59" s="28" t="s">
        <v>555</v>
      </c>
      <c r="H59" s="28" t="str">
        <f>MID(Table13[[#This Row],[Centroid Coordinates]], 14+1, LEN(Table13[[#This Row],[Centroid Coordinates]]) - (14+1))</f>
        <v>43.6479739</v>
      </c>
      <c r="I59" s="28" t="str">
        <f>MID(Table13[[#This Row],[Centroid Coordinates]], 1+1, LEN(Table13[[#This Row],[Centroid Coordinates]]) - (1+13))</f>
        <v>-79.5073709</v>
      </c>
      <c r="J59" t="s">
        <v>556</v>
      </c>
      <c r="K59" t="s">
        <v>177</v>
      </c>
      <c r="L59" t="s">
        <v>71</v>
      </c>
      <c r="M59" t="s">
        <v>188</v>
      </c>
      <c r="N59">
        <v>3</v>
      </c>
      <c r="O59" t="s">
        <v>557</v>
      </c>
      <c r="P59" s="19"/>
      <c r="Q59" s="19"/>
      <c r="R59" s="19">
        <v>2021</v>
      </c>
      <c r="S59" s="19" t="s">
        <v>104</v>
      </c>
      <c r="T59" t="s">
        <v>558</v>
      </c>
      <c r="U59" t="s">
        <v>559</v>
      </c>
      <c r="V59" t="s">
        <v>234</v>
      </c>
      <c r="W59">
        <v>225</v>
      </c>
      <c r="X59">
        <v>0</v>
      </c>
      <c r="Y59">
        <v>0</v>
      </c>
      <c r="Z59" s="19"/>
      <c r="AA59" s="19"/>
      <c r="AB59">
        <v>4.92</v>
      </c>
      <c r="AC59">
        <v>27</v>
      </c>
      <c r="AD59">
        <v>7</v>
      </c>
      <c r="AE59">
        <v>3176</v>
      </c>
      <c r="AF59" s="31"/>
      <c r="AG59" s="10" t="s">
        <v>560</v>
      </c>
      <c r="AH59" t="s">
        <v>561</v>
      </c>
    </row>
    <row r="60" spans="1:34" x14ac:dyDescent="0.25">
      <c r="A60" s="43">
        <v>23007</v>
      </c>
      <c r="B60" s="17" t="b">
        <v>1</v>
      </c>
      <c r="C60" s="19" t="s">
        <v>562</v>
      </c>
      <c r="D60" t="s">
        <v>563</v>
      </c>
      <c r="E60" t="s">
        <v>564</v>
      </c>
      <c r="F60" t="s">
        <v>295</v>
      </c>
      <c r="G60" s="31"/>
      <c r="H60" s="31" t="e">
        <f>MID(Table13[[#This Row],[Centroid Coordinates]], 14+1, LEN(Table13[[#This Row],[Centroid Coordinates]]) - (14+1))</f>
        <v>#VALUE!</v>
      </c>
      <c r="I60" s="31" t="e">
        <f>MID(Table13[[#This Row],[Centroid Coordinates]], 1+1, LEN(Table13[[#This Row],[Centroid Coordinates]]) - (1+13))</f>
        <v>#VALUE!</v>
      </c>
      <c r="J60" s="31" t="s">
        <v>565</v>
      </c>
      <c r="K60" t="s">
        <v>566</v>
      </c>
      <c r="M60" t="s">
        <v>188</v>
      </c>
      <c r="N60">
        <v>1</v>
      </c>
      <c r="O60" s="30" t="s">
        <v>567</v>
      </c>
      <c r="P60" t="s">
        <v>60</v>
      </c>
      <c r="Q60" t="s">
        <v>273</v>
      </c>
      <c r="R60">
        <v>2023</v>
      </c>
      <c r="S60" t="s">
        <v>63</v>
      </c>
      <c r="T60" t="s">
        <v>63</v>
      </c>
      <c r="U60" t="s">
        <v>63</v>
      </c>
      <c r="V60" t="s">
        <v>63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63</v>
      </c>
      <c r="AD60" t="s">
        <v>63</v>
      </c>
      <c r="AE60" t="s">
        <v>63</v>
      </c>
      <c r="AF60" t="s">
        <v>63</v>
      </c>
      <c r="AG60" s="10" t="s">
        <v>568</v>
      </c>
    </row>
    <row r="61" spans="1:34" x14ac:dyDescent="0.25">
      <c r="A61" s="43">
        <v>23075</v>
      </c>
      <c r="B61" s="17" t="b">
        <v>1</v>
      </c>
      <c r="C61" s="19" t="s">
        <v>569</v>
      </c>
      <c r="D61" t="s">
        <v>570</v>
      </c>
      <c r="E61" t="s">
        <v>42</v>
      </c>
      <c r="F61" t="s">
        <v>295</v>
      </c>
      <c r="G61" s="31"/>
      <c r="H61" s="31" t="e">
        <f>MID(Table13[[#This Row],[Centroid Coordinates]], 14+1, LEN(Table13[[#This Row],[Centroid Coordinates]]) - (14+1))</f>
        <v>#VALUE!</v>
      </c>
      <c r="I61" s="31" t="e">
        <f>MID(Table13[[#This Row],[Centroid Coordinates]], 1+1, LEN(Table13[[#This Row],[Centroid Coordinates]]) - (1+13))</f>
        <v>#VALUE!</v>
      </c>
      <c r="J61" s="31" t="s">
        <v>571</v>
      </c>
      <c r="K61" t="s">
        <v>572</v>
      </c>
      <c r="M61" t="s">
        <v>188</v>
      </c>
      <c r="O61" s="30" t="s">
        <v>573</v>
      </c>
      <c r="P61" t="s">
        <v>178</v>
      </c>
      <c r="Q61" t="s">
        <v>157</v>
      </c>
      <c r="R61" s="31">
        <v>2017</v>
      </c>
      <c r="S61" s="9">
        <v>2020</v>
      </c>
      <c r="T61" s="9"/>
      <c r="U61" s="9"/>
      <c r="V61" s="9"/>
      <c r="W61" s="31"/>
      <c r="X61" s="31"/>
      <c r="Y61" s="31"/>
      <c r="Z61" s="31"/>
      <c r="AA61" s="31"/>
      <c r="AB61" s="31"/>
      <c r="AC61" s="31"/>
      <c r="AD61" s="31"/>
      <c r="AE61" s="31"/>
      <c r="AF61" t="s">
        <v>574</v>
      </c>
      <c r="AG61" s="10" t="s">
        <v>575</v>
      </c>
      <c r="AH61" t="s">
        <v>576</v>
      </c>
    </row>
    <row r="62" spans="1:34" x14ac:dyDescent="0.25">
      <c r="A62" s="43" t="s">
        <v>577</v>
      </c>
      <c r="B62" s="17" t="b">
        <v>1</v>
      </c>
      <c r="C62" t="s">
        <v>578</v>
      </c>
      <c r="D62" s="32" t="s">
        <v>579</v>
      </c>
      <c r="E62" t="s">
        <v>42</v>
      </c>
      <c r="F62" t="s">
        <v>295</v>
      </c>
      <c r="G62" t="s">
        <v>580</v>
      </c>
      <c r="H62" t="str">
        <f>MID(Table13[[#This Row],[Centroid Coordinates]], 14+1, LEN(Table13[[#This Row],[Centroid Coordinates]]) - (14+1))</f>
        <v>43.7370430</v>
      </c>
      <c r="I62" t="str">
        <f>MID(Table13[[#This Row],[Centroid Coordinates]], 1+1, LEN(Table13[[#This Row],[Centroid Coordinates]]) - (1+13))</f>
        <v>-79.4727380</v>
      </c>
      <c r="J62" t="s">
        <v>581</v>
      </c>
      <c r="K62" t="s">
        <v>261</v>
      </c>
      <c r="L62" t="s">
        <v>71</v>
      </c>
      <c r="M62" t="s">
        <v>47</v>
      </c>
      <c r="N62">
        <v>6</v>
      </c>
      <c r="O62" s="33" t="s">
        <v>582</v>
      </c>
      <c r="P62" t="s">
        <v>114</v>
      </c>
      <c r="Q62" t="s">
        <v>179</v>
      </c>
      <c r="R62">
        <v>2020</v>
      </c>
      <c r="S62">
        <v>2025</v>
      </c>
      <c r="T62">
        <v>2025</v>
      </c>
      <c r="U62" t="s">
        <v>62</v>
      </c>
      <c r="V62" t="s">
        <v>50</v>
      </c>
      <c r="W62">
        <v>2957</v>
      </c>
      <c r="X62" s="9"/>
      <c r="Y62" s="9"/>
      <c r="Z62" t="s">
        <v>63</v>
      </c>
      <c r="AA62">
        <v>13146</v>
      </c>
      <c r="AB62" s="31"/>
      <c r="AC62" s="31"/>
      <c r="AD62" s="31"/>
      <c r="AE62" s="31"/>
      <c r="AF62" t="s">
        <v>583</v>
      </c>
      <c r="AG62" s="10" t="s">
        <v>584</v>
      </c>
      <c r="AH62" t="s">
        <v>585</v>
      </c>
    </row>
  </sheetData>
  <conditionalFormatting sqref="F1:F62">
    <cfRule type="cellIs" dxfId="0" priority="1" operator="equal">
      <formula>"No"</formula>
    </cfRule>
  </conditionalFormatting>
  <hyperlinks>
    <hyperlink ref="AG5" r:id="rId1" xr:uid="{5FAD7276-B930-494F-A659-62DF3AC36525}"/>
    <hyperlink ref="AG28" r:id="rId2" xr:uid="{D9752D3C-E315-4025-9E73-C4AA0EC07FA1}"/>
    <hyperlink ref="AG27" r:id="rId3" xr:uid="{22C77181-9EF6-4720-8405-61B053FD8249}"/>
    <hyperlink ref="AG29" r:id="rId4" xr:uid="{9C856607-83A1-45FC-A8C0-52D945D93009}"/>
    <hyperlink ref="AG33" r:id="rId5" xr:uid="{328A5C84-0049-45FE-BF4B-7C8A2CC02188}"/>
    <hyperlink ref="AG34" r:id="rId6" xr:uid="{A769F6D2-5DCC-4533-9ED6-2B4B932435AB}"/>
    <hyperlink ref="AG37" r:id="rId7" xr:uid="{4E5F3AB4-062C-4D92-8F16-7F38D2BC00EC}"/>
    <hyperlink ref="AG39" r:id="rId8" xr:uid="{C090CD25-9AE4-464B-906B-1763B6B3B2D9}"/>
    <hyperlink ref="AG40" r:id="rId9" xr:uid="{9B9B9B3A-1944-4AD7-81C4-A32EDB33C1C2}"/>
    <hyperlink ref="AG41" r:id="rId10" xr:uid="{A9AF49A9-590A-4403-978E-8C6E798BB855}"/>
    <hyperlink ref="AG44" r:id="rId11" xr:uid="{9F5F1AAC-3AB8-4BE8-A254-51CB7FB11A77}"/>
    <hyperlink ref="AG30" r:id="rId12" xr:uid="{F3800810-DA0F-4BAB-BE4B-11C2CBE791F8}"/>
    <hyperlink ref="AG53" r:id="rId13" xr:uid="{29FEBBBF-5889-4A9B-BAB8-E5E5E4BB5C15}"/>
    <hyperlink ref="AG54" r:id="rId14" xr:uid="{72AA2D44-71EE-4FBF-92E8-296B0171540E}"/>
    <hyperlink ref="AG2" r:id="rId15" xr:uid="{ED33EE5D-A60A-4462-AD25-F79E8C2A1874}"/>
    <hyperlink ref="AG3" r:id="rId16" xr:uid="{8C24A6A2-44F2-4CB5-A1FD-A5861CADCD8C}"/>
    <hyperlink ref="AG4" r:id="rId17" xr:uid="{4654F2E3-046A-4822-AFDB-2F7389F68A37}"/>
    <hyperlink ref="AG6" r:id="rId18" xr:uid="{55BB6EBD-03AD-482B-9CB1-DB2EC46D20DE}"/>
    <hyperlink ref="AG7" r:id="rId19" xr:uid="{111D02A9-F6EC-4A85-B4AD-AF9C8B463B3B}"/>
    <hyperlink ref="AG8" r:id="rId20" xr:uid="{B3C0C9A1-4979-4A37-BB0D-24A09F6442D3}"/>
    <hyperlink ref="AG55" r:id="rId21" xr:uid="{9419782D-0F7B-4AE0-B1EB-410EFEE40CC6}"/>
    <hyperlink ref="AG56" r:id="rId22" xr:uid="{EB78A592-B695-4632-981E-133EB0CCE788}"/>
    <hyperlink ref="AG58" r:id="rId23" xr:uid="{45498FD5-9ACA-45FD-8C81-0D22FD984B2C}"/>
    <hyperlink ref="AG31" r:id="rId24" xr:uid="{01F8A16E-F3E7-4F45-B7E8-AFC2956EAA01}"/>
    <hyperlink ref="AG35" r:id="rId25" xr:uid="{F449E93C-BC64-42C2-95BF-66F3E30DF32E}"/>
    <hyperlink ref="AG60" r:id="rId26" xr:uid="{DF3B8BBE-0D2B-47BC-B8C9-66218EF61AAD}"/>
    <hyperlink ref="AG36" r:id="rId27" xr:uid="{FA742B00-46A2-4A08-B720-F4F59DDA5ABD}"/>
    <hyperlink ref="AG42" r:id="rId28" xr:uid="{5A893352-6FC5-4CB8-9B5F-FD2EEAC3B656}"/>
    <hyperlink ref="AG9" r:id="rId29" xr:uid="{D0320F88-A8B8-4986-B1C0-4B76696EC406}"/>
    <hyperlink ref="AG10" r:id="rId30" xr:uid="{25036F3D-F28C-469A-9F34-39C76C5A47A5}"/>
    <hyperlink ref="AG11" r:id="rId31" xr:uid="{D00AFE4A-C9DA-496E-B0ED-F8D3BAE39ACE}"/>
    <hyperlink ref="AG12" r:id="rId32" xr:uid="{B8321B36-1D12-45F4-BD5D-AE04C9084DCA}"/>
    <hyperlink ref="AG13" r:id="rId33" xr:uid="{EAF90E7A-0337-48AB-9335-D02D5837FC23}"/>
    <hyperlink ref="AG14" r:id="rId34" xr:uid="{C129D627-4A7F-43E3-A9CF-3090CDFC7230}"/>
    <hyperlink ref="AG17" r:id="rId35" xr:uid="{6E051C88-E775-44A6-A3CF-A662E80A8F58}"/>
    <hyperlink ref="AG18" r:id="rId36" xr:uid="{9E6E6A9D-3697-4A16-B471-EFE3CD2B4933}"/>
    <hyperlink ref="AG19" r:id="rId37" xr:uid="{510A936D-30DC-42E3-BD49-34EBDC0A6194}"/>
    <hyperlink ref="AG20" r:id="rId38" xr:uid="{E5989BA2-FEA3-4C83-849B-248D15772568}"/>
    <hyperlink ref="AG21" r:id="rId39" xr:uid="{93FC36B0-679D-4177-9BFC-1B70D5CE6661}"/>
    <hyperlink ref="AG22" r:id="rId40" xr:uid="{BD3DA3B4-4264-46A7-BE22-8E58F62888FD}"/>
    <hyperlink ref="AG15" r:id="rId41" xr:uid="{70A57BB6-5653-4269-8BE5-543AF0F5BC9C}"/>
    <hyperlink ref="AG16" r:id="rId42" xr:uid="{E1633C01-F127-4114-85E8-73CC74EBCF89}"/>
    <hyperlink ref="AG23" r:id="rId43" xr:uid="{3DBDEBAD-F99A-49D2-87DA-9E10210E5D8F}"/>
    <hyperlink ref="AG62" r:id="rId44" xr:uid="{F9A4633D-CA90-468A-9E15-F660E618A4DA}"/>
    <hyperlink ref="AG25" r:id="rId45" xr:uid="{A9785A92-4FFB-40B2-9006-67CCBCE7A75E}"/>
    <hyperlink ref="AG61" r:id="rId46" xr:uid="{3D2B67D3-3198-4506-A582-83236E5F4857}"/>
    <hyperlink ref="AG26" r:id="rId47" xr:uid="{B3A24141-1194-4161-9D95-E1EA241ECF01}"/>
    <hyperlink ref="AG45" r:id="rId48" xr:uid="{7BD761EC-303C-4F28-9357-9AF43947A36B}"/>
    <hyperlink ref="AG32" r:id="rId49" xr:uid="{C8B7D63B-5657-4A35-9BA5-90E9C00747D1}"/>
    <hyperlink ref="AG46" r:id="rId50" xr:uid="{AAAB0D64-DCF7-494F-8E3D-882785CC69B7}"/>
    <hyperlink ref="AG47" r:id="rId51" xr:uid="{1313AE25-B9CB-459D-BF77-B75FDE369198}"/>
    <hyperlink ref="AG48" r:id="rId52" xr:uid="{1262C775-160E-4A95-B88C-10D6AFE6BC0B}"/>
    <hyperlink ref="AG51" r:id="rId53" xr:uid="{6EF629B3-8AA1-4ED3-BAAD-C3670C3B0942}"/>
    <hyperlink ref="AG52" r:id="rId54" xr:uid="{893F6636-C889-4B10-B987-B95F96ECA1C4}"/>
    <hyperlink ref="AG49" r:id="rId55" xr:uid="{88776A20-9A18-49B5-9868-127CF7332E64}"/>
    <hyperlink ref="AG50" r:id="rId56" xr:uid="{378A2679-787E-4109-A7E0-502DD4106899}"/>
    <hyperlink ref="AG59" r:id="rId57" xr:uid="{14E9B8F7-1E04-4188-9A70-711D067EEB98}"/>
    <hyperlink ref="AG38" r:id="rId58" xr:uid="{347E48EB-9957-49B3-8272-4D88552BDF06}"/>
  </hyperlinks>
  <pageMargins left="0.7" right="0.7" top="0.75" bottom="0.75" header="0.3" footer="0.3"/>
  <tableParts count="1">
    <tablePart r:id="rId5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3320EE8ADE54782CFFDDA7EF05DD1" ma:contentTypeVersion="3" ma:contentTypeDescription="Create a new document." ma:contentTypeScope="" ma:versionID="5722949bf75d85b52bda7a1056edae0b">
  <xsd:schema xmlns:xsd="http://www.w3.org/2001/XMLSchema" xmlns:xs="http://www.w3.org/2001/XMLSchema" xmlns:p="http://schemas.microsoft.com/office/2006/metadata/properties" xmlns:ns2="0d8f85f3-a7b3-4a3c-97ce-3c0dd54e4834" targetNamespace="http://schemas.microsoft.com/office/2006/metadata/properties" ma:root="true" ma:fieldsID="1e8c72ffed8512908d39b175ae66cea4" ns2:_="">
    <xsd:import namespace="0d8f85f3-a7b3-4a3c-97ce-3c0dd54e48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f85f3-a7b3-4a3c-97ce-3c0dd54e4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E21EE0-CC1C-4959-8E28-F2A6661A1A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8f85f3-a7b3-4a3c-97ce-3c0dd54e48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4CF8F1-11C1-4A30-8D18-83642132FD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AA6BE0-5DCD-43CE-A924-921C709638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Columns</vt:lpstr>
      <vt:lpstr>Join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Reisman</dc:creator>
  <cp:keywords/>
  <dc:description/>
  <cp:lastModifiedBy>Emmett Young</cp:lastModifiedBy>
  <cp:revision/>
  <dcterms:created xsi:type="dcterms:W3CDTF">2025-09-05T15:42:15Z</dcterms:created>
  <dcterms:modified xsi:type="dcterms:W3CDTF">2026-10-06T14:39:24Z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0x010100C623320EE8ADE54782CFFDDA7EF05DD1</vt:lpwstr>
  </property>
</Properties>
</file>